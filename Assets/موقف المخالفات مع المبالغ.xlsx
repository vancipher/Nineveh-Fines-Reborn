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الموقف اليومي للمخالفات\"/>
    </mc:Choice>
  </mc:AlternateContent>
  <xr:revisionPtr revIDLastSave="0" documentId="8_{2B977D0C-DB0B-844A-A0EB-D00A900ED49D}" xr6:coauthVersionLast="47" xr6:coauthVersionMax="47" xr10:uidLastSave="{00000000-0000-0000-0000-000000000000}"/>
  <bookViews>
    <workbookView xWindow="240" yWindow="60" windowWidth="19440" windowHeight="8016" activeTab="1" xr2:uid="{00000000-000D-0000-FFFF-FFFF00000000}"/>
  </bookViews>
  <sheets>
    <sheet name="59مخالفة" sheetId="2" r:id="rId1"/>
    <sheet name="مخالفات ومبالغ " sheetId="6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2" l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3" i="2"/>
  <c r="V62" i="2"/>
  <c r="U62" i="2"/>
  <c r="AB62" i="2"/>
  <c r="Y62" i="2"/>
  <c r="G7" i="6"/>
  <c r="G8" i="6"/>
  <c r="G9" i="6"/>
  <c r="G10" i="6"/>
  <c r="G12" i="6"/>
  <c r="G13" i="6"/>
  <c r="G14" i="6"/>
  <c r="G15" i="6"/>
  <c r="G16" i="6"/>
  <c r="G17" i="6"/>
  <c r="G18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K62" i="2"/>
  <c r="F64" i="6"/>
  <c r="G19" i="6"/>
  <c r="G11" i="6"/>
  <c r="D62" i="2"/>
  <c r="G62" i="2"/>
  <c r="H62" i="2"/>
  <c r="I62" i="2"/>
  <c r="J62" i="2"/>
  <c r="L62" i="2"/>
  <c r="E62" i="2"/>
  <c r="C62" i="2"/>
  <c r="G6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6" i="6"/>
  <c r="D65" i="6"/>
  <c r="C65" i="6"/>
  <c r="E64" i="6"/>
  <c r="B64" i="6"/>
  <c r="B63" i="6"/>
  <c r="F62" i="6"/>
  <c r="E62" i="6"/>
  <c r="B62" i="6"/>
  <c r="F61" i="6"/>
  <c r="E61" i="6"/>
  <c r="C61" i="6"/>
  <c r="B61" i="6"/>
  <c r="F60" i="6"/>
  <c r="E60" i="6"/>
  <c r="C60" i="6"/>
  <c r="B60" i="6"/>
  <c r="F59" i="6"/>
  <c r="E59" i="6"/>
  <c r="C59" i="6"/>
  <c r="B59" i="6"/>
  <c r="F58" i="6"/>
  <c r="E58" i="6"/>
  <c r="C58" i="6"/>
  <c r="B58" i="6"/>
  <c r="F57" i="6"/>
  <c r="E57" i="6"/>
  <c r="C57" i="6"/>
  <c r="B57" i="6"/>
  <c r="F56" i="6"/>
  <c r="E56" i="6"/>
  <c r="C56" i="6"/>
  <c r="B56" i="6"/>
  <c r="F55" i="6"/>
  <c r="E55" i="6"/>
  <c r="C55" i="6"/>
  <c r="B55" i="6"/>
  <c r="F54" i="6"/>
  <c r="E54" i="6"/>
  <c r="C54" i="6"/>
  <c r="B54" i="6"/>
  <c r="F53" i="6"/>
  <c r="E53" i="6"/>
  <c r="C53" i="6"/>
  <c r="B53" i="6"/>
  <c r="F52" i="6"/>
  <c r="E52" i="6"/>
  <c r="C52" i="6"/>
  <c r="B52" i="6"/>
  <c r="F51" i="6"/>
  <c r="E51" i="6"/>
  <c r="C51" i="6"/>
  <c r="B51" i="6"/>
  <c r="F50" i="6"/>
  <c r="E50" i="6"/>
  <c r="C50" i="6"/>
  <c r="B50" i="6"/>
  <c r="F49" i="6"/>
  <c r="E49" i="6"/>
  <c r="C49" i="6"/>
  <c r="B49" i="6"/>
  <c r="F48" i="6"/>
  <c r="E48" i="6"/>
  <c r="C48" i="6"/>
  <c r="B48" i="6"/>
  <c r="F47" i="6"/>
  <c r="E47" i="6"/>
  <c r="C47" i="6"/>
  <c r="B47" i="6"/>
  <c r="F46" i="6"/>
  <c r="E46" i="6"/>
  <c r="C46" i="6"/>
  <c r="B46" i="6"/>
  <c r="F45" i="6"/>
  <c r="E45" i="6"/>
  <c r="C45" i="6"/>
  <c r="B45" i="6"/>
  <c r="F44" i="6"/>
  <c r="E44" i="6"/>
  <c r="C44" i="6"/>
  <c r="B44" i="6"/>
  <c r="F43" i="6"/>
  <c r="E43" i="6"/>
  <c r="C43" i="6"/>
  <c r="B43" i="6"/>
  <c r="F42" i="6"/>
  <c r="E42" i="6"/>
  <c r="C42" i="6"/>
  <c r="B42" i="6"/>
  <c r="F41" i="6"/>
  <c r="E41" i="6"/>
  <c r="C41" i="6"/>
  <c r="B41" i="6"/>
  <c r="F40" i="6"/>
  <c r="E40" i="6"/>
  <c r="C40" i="6"/>
  <c r="B40" i="6"/>
  <c r="F39" i="6"/>
  <c r="E39" i="6"/>
  <c r="C39" i="6"/>
  <c r="B39" i="6"/>
  <c r="F38" i="6"/>
  <c r="E38" i="6"/>
  <c r="C38" i="6"/>
  <c r="B38" i="6"/>
  <c r="F37" i="6"/>
  <c r="E37" i="6"/>
  <c r="C37" i="6"/>
  <c r="B37" i="6"/>
  <c r="F36" i="6"/>
  <c r="E36" i="6"/>
  <c r="C36" i="6"/>
  <c r="B36" i="6"/>
  <c r="F35" i="6"/>
  <c r="E35" i="6"/>
  <c r="C35" i="6"/>
  <c r="B35" i="6"/>
  <c r="F34" i="6"/>
  <c r="E34" i="6"/>
  <c r="C34" i="6"/>
  <c r="B34" i="6"/>
  <c r="F33" i="6"/>
  <c r="E33" i="6"/>
  <c r="C33" i="6"/>
  <c r="B33" i="6"/>
  <c r="F32" i="6"/>
  <c r="E32" i="6"/>
  <c r="C32" i="6"/>
  <c r="B32" i="6"/>
  <c r="F31" i="6"/>
  <c r="E31" i="6"/>
  <c r="C31" i="6"/>
  <c r="B31" i="6"/>
  <c r="F30" i="6"/>
  <c r="E30" i="6"/>
  <c r="C30" i="6"/>
  <c r="B30" i="6"/>
  <c r="F29" i="6"/>
  <c r="E29" i="6"/>
  <c r="C29" i="6"/>
  <c r="B29" i="6"/>
  <c r="F28" i="6"/>
  <c r="E28" i="6"/>
  <c r="C28" i="6"/>
  <c r="B28" i="6"/>
  <c r="F27" i="6"/>
  <c r="E27" i="6"/>
  <c r="C27" i="6"/>
  <c r="B27" i="6"/>
  <c r="F26" i="6"/>
  <c r="E26" i="6"/>
  <c r="C26" i="6"/>
  <c r="B26" i="6"/>
  <c r="F25" i="6"/>
  <c r="E25" i="6"/>
  <c r="C25" i="6"/>
  <c r="B25" i="6"/>
  <c r="F24" i="6"/>
  <c r="E24" i="6"/>
  <c r="C24" i="6"/>
  <c r="B24" i="6"/>
  <c r="F23" i="6"/>
  <c r="E23" i="6"/>
  <c r="C23" i="6"/>
  <c r="B23" i="6"/>
  <c r="F22" i="6"/>
  <c r="E22" i="6"/>
  <c r="C22" i="6"/>
  <c r="B22" i="6"/>
  <c r="F21" i="6"/>
  <c r="E21" i="6"/>
  <c r="C21" i="6"/>
  <c r="B21" i="6"/>
  <c r="F20" i="6"/>
  <c r="E20" i="6"/>
  <c r="C20" i="6"/>
  <c r="B20" i="6"/>
  <c r="F19" i="6"/>
  <c r="E19" i="6"/>
  <c r="C19" i="6"/>
  <c r="B19" i="6"/>
  <c r="F18" i="6"/>
  <c r="E18" i="6"/>
  <c r="C18" i="6"/>
  <c r="B18" i="6"/>
  <c r="F17" i="6"/>
  <c r="E17" i="6"/>
  <c r="C17" i="6"/>
  <c r="B17" i="6"/>
  <c r="F16" i="6"/>
  <c r="E16" i="6"/>
  <c r="C16" i="6"/>
  <c r="B16" i="6"/>
  <c r="F15" i="6"/>
  <c r="E15" i="6"/>
  <c r="C15" i="6"/>
  <c r="B15" i="6"/>
  <c r="F14" i="6"/>
  <c r="E14" i="6"/>
  <c r="C14" i="6"/>
  <c r="B14" i="6"/>
  <c r="F13" i="6"/>
  <c r="E13" i="6"/>
  <c r="C13" i="6"/>
  <c r="B13" i="6"/>
  <c r="F12" i="6"/>
  <c r="E12" i="6"/>
  <c r="C12" i="6"/>
  <c r="B12" i="6"/>
  <c r="F11" i="6"/>
  <c r="E11" i="6"/>
  <c r="C11" i="6"/>
  <c r="B11" i="6"/>
  <c r="F10" i="6"/>
  <c r="E10" i="6"/>
  <c r="C10" i="6"/>
  <c r="B10" i="6"/>
  <c r="F9" i="6"/>
  <c r="E9" i="6"/>
  <c r="C9" i="6"/>
  <c r="B9" i="6"/>
  <c r="F8" i="6"/>
  <c r="E8" i="6"/>
  <c r="C8" i="6"/>
  <c r="B8" i="6"/>
  <c r="F7" i="6"/>
  <c r="E7" i="6"/>
  <c r="C7" i="6"/>
  <c r="B7" i="6"/>
  <c r="F6" i="6"/>
  <c r="E6" i="6"/>
  <c r="C6" i="6"/>
  <c r="B6" i="6"/>
  <c r="E3" i="6"/>
  <c r="D3" i="6"/>
  <c r="X62" i="2"/>
  <c r="AA62" i="2"/>
  <c r="F65" i="6"/>
  <c r="Z62" i="2"/>
  <c r="E65" i="6"/>
  <c r="T62" i="2"/>
  <c r="P62" i="2"/>
  <c r="M62" i="2"/>
  <c r="W62" i="2"/>
  <c r="S62" i="2"/>
  <c r="R62" i="2"/>
  <c r="Q62" i="2"/>
  <c r="O62" i="2"/>
  <c r="N62" i="2"/>
  <c r="G65" i="6"/>
</calcChain>
</file>

<file path=xl/sharedStrings.xml><?xml version="1.0" encoding="utf-8"?>
<sst xmlns="http://schemas.openxmlformats.org/spreadsheetml/2006/main" count="99" uniqueCount="96">
  <si>
    <t>العدد/ الغرامات</t>
  </si>
  <si>
    <t xml:space="preserve">حجز مركبات </t>
  </si>
  <si>
    <t>عدم وضع غطاء الحمولة</t>
  </si>
  <si>
    <t>عدم مراجعة البائع او المشتري لنقل ملكية المركبة خلال (30) يوم</t>
  </si>
  <si>
    <t>تنظيم اكثر من عقد واحد للمركبة  ذاتها من قبل البائع</t>
  </si>
  <si>
    <t>قيادة مركبة بإجازة سوق غير مختصة بنوع المركبة</t>
  </si>
  <si>
    <t>عدم (حمل اجازة السوق او السنوية ) او الامتناع عن اعطائها</t>
  </si>
  <si>
    <t>عدم ( تجديد اجازة السوق او السنوية ) بعد مرور (30) يوم</t>
  </si>
  <si>
    <t>عدم مراجعة دائرة التسجيل لتسجيل  المركبة بعد (30) يوم على كتاب البيع او التسجيل</t>
  </si>
  <si>
    <t>الوقوف الممنوع</t>
  </si>
  <si>
    <t>عدم اعطاء الاسبقية للمشاة في منطقة العبور</t>
  </si>
  <si>
    <t>استعمال الضوء العالي</t>
  </si>
  <si>
    <t>استعمال جهاز التنبيه الهوائي او اخر غير متواجد في المنشأ</t>
  </si>
  <si>
    <t>الاجتياز الخاطئ من جهة اليمين</t>
  </si>
  <si>
    <t>وضع ملصقات زينة</t>
  </si>
  <si>
    <t>نقل ركاب على جوانب العجلة او جزء خارجي منها او اكثر من استيعابها</t>
  </si>
  <si>
    <t>مخالفة العلامات المرورية الشاخصة او الارضية</t>
  </si>
  <si>
    <t>عدم التنبيه بالإشارة قبل مسافة كافية عند الاستدارة او الوقوف</t>
  </si>
  <si>
    <t>تحريك المركبة قبل التأكد من خلو جهة  المرور من المركبات</t>
  </si>
  <si>
    <t>التسبب بالازدحام لأي سبب كان</t>
  </si>
  <si>
    <t>رمي النفايات والاوراق  والسكائر في الشوارع</t>
  </si>
  <si>
    <t>اخراج الرؤوس والابدان من النوافذ في الحافلة</t>
  </si>
  <si>
    <t>عدم انارة الحافلة من الداخل بين غروب الشمس وشروقها وعند الضرورة</t>
  </si>
  <si>
    <t>عدم تفتيش الحافلة وعدم تسليم الامانة  الى اقرب مركز شرطة  خلال (24) ساعة</t>
  </si>
  <si>
    <t>الاشخاص اثناء عبور الشارع من غير المناطق المخصصة للعبور</t>
  </si>
  <si>
    <t>استعمال الهاتف النقال اثناء القيادة</t>
  </si>
  <si>
    <t>الاستدارة من مكان ممنوع</t>
  </si>
  <si>
    <t>عدم التوقف عند الخروج من شارع فرعي الى رئيسي</t>
  </si>
  <si>
    <t>الوقوف في  جهة اليمين ومنع انسيابية  حركة المرور</t>
  </si>
  <si>
    <t>عدم توفر شروط المتانة والامان</t>
  </si>
  <si>
    <t>م ب (10) اسنة 2019 لا يجوز تحوير المركبة  او ابدال هيكلها  او شاصيها</t>
  </si>
  <si>
    <t>م ب (11)  لسنة 2019  منع تركيب ونصب اللافتات  الضوئية او الصافرات</t>
  </si>
  <si>
    <t>مخالفة بيان رقم (5)  لسنة 2020 (الزوجي الفردي )</t>
  </si>
  <si>
    <t>الايمن</t>
  </si>
  <si>
    <t>شرق نينوى</t>
  </si>
  <si>
    <t>غرب نينوى</t>
  </si>
  <si>
    <t>تلعفر</t>
  </si>
  <si>
    <t xml:space="preserve"> نوع المخالفة     </t>
  </si>
  <si>
    <t>سنجار</t>
  </si>
  <si>
    <t>ربيعة</t>
  </si>
  <si>
    <t>القيارة</t>
  </si>
  <si>
    <t>ت</t>
  </si>
  <si>
    <t>عدم الامتثال للإشارة الضوئية او اشارة رجل  المرور التنظيمية</t>
  </si>
  <si>
    <t>قيادة مركبة بإهمال ورعونة</t>
  </si>
  <si>
    <t>قيادة مركبة بسرعة تزيد عن السرعة المقررة قانونا</t>
  </si>
  <si>
    <t>مخالفة قواعد السير والمرور على الطرق السريع</t>
  </si>
  <si>
    <t>السير عكس الاتجاه</t>
  </si>
  <si>
    <t>الزجاج المضلل والستائر</t>
  </si>
  <si>
    <t>عدم  تثبيت لوحات مفردة او مزدوجة (بدون لوحة تسجيل)</t>
  </si>
  <si>
    <t>ارتفاع الحمولة</t>
  </si>
  <si>
    <t>عدم ارتداء حزام الامان( للسائق او الراكب الذي بجانبه ) او جلوس الاطفال دون سن (8) سنوات في المقعد الامامي للسيارة</t>
  </si>
  <si>
    <t>قيادة(عجلة حمل او زراعية او انشائية او الدراجات النارية المحورة) التي تسير على الجانب الايسر من الطريق</t>
  </si>
  <si>
    <t>تجاوز عدد ركاب الحافلة للعدد المرخص به</t>
  </si>
  <si>
    <t>الوقوف لأخذ الركاب او انزالهم في الاماكن الغير مخصصة للوقوف</t>
  </si>
  <si>
    <t>التحدث مع الركاب اثناء سير الحالفة او الوقوف بجانب السائق</t>
  </si>
  <si>
    <t>رفض ركوب على استعداد لدفع التعريفة المقررة اذا لم تكم المركبة مستكملة عدد الركاب المرخص به</t>
  </si>
  <si>
    <t>عدم تثبيت اعلان يوضح عدد الاشخاص المرخص به وان المركبة للأجرة</t>
  </si>
  <si>
    <t>عدم وضوح لوحات</t>
  </si>
  <si>
    <t>قيادة مركبة  دون السن القانوني ( الاحداث )</t>
  </si>
  <si>
    <t>م .ب (3) لسنة 2011 مطفأة حريق</t>
  </si>
  <si>
    <t>م .ب(3) لسنة 2011 مثلث فسفوري</t>
  </si>
  <si>
    <t>م .ب(3) لسنة 2024 منع التدخين داخل وسائط النقل</t>
  </si>
  <si>
    <t>م ب (3) لسنة 2019 استخدام المركبات الخصوصي كأجرة</t>
  </si>
  <si>
    <t>م ب (12)  لسنة 2019  منع استخدام مركبة مصفحة او مدرعة</t>
  </si>
  <si>
    <t>مخالفة مقررات اللجنة العليا للصحة والسلامة والوطنية ( حظر تجوال )</t>
  </si>
  <si>
    <t>قيادة الدراجات النارية التي سعة محركها تقل عن (40 cc) في الشوارع الرئيسية</t>
  </si>
  <si>
    <t>الملاحظات</t>
  </si>
  <si>
    <t>نوع المخالفة</t>
  </si>
  <si>
    <r>
      <rPr>
        <b/>
        <sz val="16"/>
        <color theme="1"/>
        <rFont val="Arial"/>
        <family val="2"/>
        <scheme val="minor"/>
      </rPr>
      <t>موقف مديرية مرور محافظة نينوى للمخالفات ليوم</t>
    </r>
    <r>
      <rPr>
        <b/>
        <sz val="18"/>
        <color theme="1"/>
        <rFont val="Arial"/>
        <family val="2"/>
        <scheme val="minor"/>
      </rPr>
      <t xml:space="preserve"> </t>
    </r>
  </si>
  <si>
    <t>زمار</t>
  </si>
  <si>
    <t>حجز مركبات الفحص المؤقت</t>
  </si>
  <si>
    <t xml:space="preserve">م ب  رقم (1) لسنة 2012 قيادة الدراجات النارية من الساعة 6 مساءا لغاية 6 صباحا. استقلال الدراجة النارية من قبل شخصين </t>
  </si>
  <si>
    <t xml:space="preserve">مجموع المخالفات المرورية </t>
  </si>
  <si>
    <t xml:space="preserve">بيان رقم (4) يمنع وقوف المركبات على الارصفة </t>
  </si>
  <si>
    <t>بيان رقم (4) يمنع وقوف المركبات على الارصفة</t>
  </si>
  <si>
    <t>بيان رقم  (5) لسنة 2024 دخول المركبات الحمل للعاصمة</t>
  </si>
  <si>
    <t xml:space="preserve"> الاوزان  </t>
  </si>
  <si>
    <t xml:space="preserve">الايسر </t>
  </si>
  <si>
    <t xml:space="preserve">الايسر مبالغ </t>
  </si>
  <si>
    <t xml:space="preserve">الأيمن مبالغ </t>
  </si>
  <si>
    <t xml:space="preserve">شرق نينوى مبالغ </t>
  </si>
  <si>
    <t xml:space="preserve">غرب نينوى مبالغ </t>
  </si>
  <si>
    <t>تلعفر مبالغ</t>
  </si>
  <si>
    <t>سنجار مبالغ</t>
  </si>
  <si>
    <t>ربيعة مبالغ</t>
  </si>
  <si>
    <t>القيارة مبالغ</t>
  </si>
  <si>
    <t>زمار مبالغ</t>
  </si>
  <si>
    <t xml:space="preserve"> الاوزان  مبالغ</t>
  </si>
  <si>
    <t xml:space="preserve">مبلغ الغرامات </t>
  </si>
  <si>
    <t>مجموع مبلغ
 المخالفة</t>
  </si>
  <si>
    <t>العدد/
 الغرامات</t>
  </si>
  <si>
    <t xml:space="preserve">حجز 
مركبات </t>
  </si>
  <si>
    <t>حجز 
دراجات</t>
  </si>
  <si>
    <t>حجز دراجات</t>
  </si>
  <si>
    <t>الحمدانية</t>
  </si>
  <si>
    <t xml:space="preserve">الحمدانية مبالغ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</si>
</sst>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General;\-General;"/>
    <numFmt numFmtId="165" formatCode="[$-2000401]0"/>
    <numFmt numFmtId="166" formatCode="[$-1010000]yyyy/mm/dd;@"/>
    <numFmt numFmtId="167" formatCode="[$-F800]dddd\,\ mmmm\ dd\,\ yyyy"/>
    <numFmt numFmtId="168" formatCode="dddd"/>
    <numFmt numFmtId="169" formatCode="#,##0\ _د_._ع_._‏;[Red]#,##0\ _د_._ع_._‏"/>
    <numFmt numFmtId="170" formatCode="#,##0;[Red]#,##0"/>
  </numFmts>
  <fonts count="21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sz val="14"/>
      <color theme="0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charset val="178"/>
      <scheme val="minor"/>
    </font>
    <font>
      <b/>
      <sz val="16"/>
      <color theme="1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0"/>
      <color theme="1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b/>
      <sz val="14"/>
      <name val="Arial"/>
      <family val="2"/>
      <scheme val="minor"/>
    </font>
    <font>
      <b/>
      <sz val="11"/>
      <name val="Arial"/>
      <family val="2"/>
      <charset val="178"/>
      <scheme val="minor"/>
    </font>
    <font>
      <b/>
      <sz val="16"/>
      <name val="Arial"/>
      <family val="2"/>
      <scheme val="minor"/>
    </font>
    <font>
      <b/>
      <sz val="18"/>
      <name val="Arial"/>
      <family val="2"/>
      <scheme val="minor"/>
    </font>
    <font>
      <b/>
      <sz val="14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Border="1"/>
    <xf numFmtId="166" fontId="0" fillId="0" borderId="0" xfId="0" applyNumberFormat="1" applyBorder="1"/>
    <xf numFmtId="166" fontId="0" fillId="0" borderId="0" xfId="0" applyNumberFormat="1"/>
    <xf numFmtId="0" fontId="10" fillId="0" borderId="0" xfId="0" applyFont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top"/>
    </xf>
    <xf numFmtId="164" fontId="4" fillId="5" borderId="2" xfId="1" applyNumberFormat="1" applyFont="1" applyBorder="1" applyAlignment="1">
      <alignment horizontal="center" vertical="top" readingOrder="2"/>
    </xf>
    <xf numFmtId="0" fontId="3" fillId="9" borderId="1" xfId="0" applyFont="1" applyFill="1" applyBorder="1" applyAlignment="1">
      <alignment horizontal="left" vertical="top"/>
    </xf>
    <xf numFmtId="0" fontId="7" fillId="10" borderId="1" xfId="0" applyFont="1" applyFill="1" applyBorder="1" applyAlignment="1">
      <alignment horizontal="center"/>
    </xf>
    <xf numFmtId="0" fontId="0" fillId="8" borderId="0" xfId="0" applyFill="1"/>
    <xf numFmtId="167" fontId="13" fillId="8" borderId="0" xfId="0" applyNumberFormat="1" applyFont="1" applyFill="1" applyAlignment="1">
      <alignment horizontal="left" vertical="center"/>
    </xf>
    <xf numFmtId="168" fontId="13" fillId="8" borderId="0" xfId="0" applyNumberFormat="1" applyFont="1" applyFill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top" readingOrder="2"/>
    </xf>
    <xf numFmtId="166" fontId="7" fillId="12" borderId="1" xfId="0" applyNumberFormat="1" applyFont="1" applyFill="1" applyBorder="1" applyAlignment="1">
      <alignment horizontal="center" vertical="top"/>
    </xf>
    <xf numFmtId="166" fontId="14" fillId="12" borderId="1" xfId="0" applyNumberFormat="1" applyFont="1" applyFill="1" applyBorder="1" applyAlignment="1">
      <alignment horizontal="center" vertical="top"/>
    </xf>
    <xf numFmtId="0" fontId="0" fillId="6" borderId="0" xfId="0" applyFill="1"/>
    <xf numFmtId="166" fontId="15" fillId="12" borderId="1" xfId="0" applyNumberFormat="1" applyFont="1" applyFill="1" applyBorder="1" applyAlignment="1">
      <alignment horizontal="center" vertical="top"/>
    </xf>
    <xf numFmtId="3" fontId="7" fillId="4" borderId="1" xfId="0" applyNumberFormat="1" applyFont="1" applyFill="1" applyBorder="1" applyAlignment="1">
      <alignment horizontal="center" vertical="top" readingOrder="2"/>
    </xf>
    <xf numFmtId="0" fontId="16" fillId="7" borderId="2" xfId="1" applyFont="1" applyFill="1" applyBorder="1" applyAlignment="1">
      <alignment horizontal="center" vertical="center" readingOrder="2"/>
    </xf>
    <xf numFmtId="0" fontId="7" fillId="10" borderId="1" xfId="0" applyFont="1" applyFill="1" applyBorder="1" applyAlignment="1">
      <alignment horizontal="center" wrapText="1"/>
    </xf>
    <xf numFmtId="164" fontId="7" fillId="13" borderId="1" xfId="0" applyNumberFormat="1" applyFont="1" applyFill="1" applyBorder="1" applyAlignment="1">
      <alignment horizontal="center" vertical="top" readingOrder="2"/>
    </xf>
    <xf numFmtId="3" fontId="7" fillId="13" borderId="1" xfId="0" applyNumberFormat="1" applyFont="1" applyFill="1" applyBorder="1" applyAlignment="1">
      <alignment horizontal="center" vertical="top" readingOrder="2"/>
    </xf>
    <xf numFmtId="164" fontId="7" fillId="14" borderId="1" xfId="0" applyNumberFormat="1" applyFont="1" applyFill="1" applyBorder="1" applyAlignment="1">
      <alignment horizontal="center" vertical="top" readingOrder="2"/>
    </xf>
    <xf numFmtId="164" fontId="17" fillId="14" borderId="1" xfId="0" applyNumberFormat="1" applyFont="1" applyFill="1" applyBorder="1" applyAlignment="1">
      <alignment horizontal="center" vertical="top" readingOrder="2"/>
    </xf>
    <xf numFmtId="165" fontId="5" fillId="0" borderId="1" xfId="0" applyNumberFormat="1" applyFont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70" fontId="18" fillId="11" borderId="2" xfId="1" applyNumberFormat="1" applyFont="1" applyFill="1" applyBorder="1" applyAlignment="1">
      <alignment horizontal="center" vertical="top" readingOrder="2"/>
    </xf>
    <xf numFmtId="164" fontId="19" fillId="5" borderId="2" xfId="1" applyNumberFormat="1" applyFont="1" applyBorder="1" applyAlignment="1">
      <alignment horizontal="center" vertical="top" readingOrder="2"/>
    </xf>
    <xf numFmtId="164" fontId="19" fillId="5" borderId="4" xfId="1" applyNumberFormat="1" applyFont="1" applyBorder="1" applyAlignment="1">
      <alignment horizontal="center" vertical="center" readingOrder="2"/>
    </xf>
    <xf numFmtId="170" fontId="16" fillId="11" borderId="2" xfId="1" applyNumberFormat="1" applyFont="1" applyFill="1" applyBorder="1" applyAlignment="1">
      <alignment horizontal="center" vertical="center" readingOrder="2"/>
    </xf>
    <xf numFmtId="0" fontId="16" fillId="2" borderId="1" xfId="0" applyFont="1" applyFill="1" applyBorder="1" applyAlignment="1">
      <alignment horizontal="center" vertical="center"/>
    </xf>
    <xf numFmtId="170" fontId="16" fillId="2" borderId="1" xfId="0" applyNumberFormat="1" applyFont="1" applyFill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 readingOrder="2"/>
    </xf>
    <xf numFmtId="0" fontId="16" fillId="0" borderId="1" xfId="0" applyFont="1" applyBorder="1" applyAlignment="1">
      <alignment horizontal="center" vertical="center" readingOrder="2"/>
    </xf>
    <xf numFmtId="169" fontId="16" fillId="2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169" fontId="16" fillId="6" borderId="1" xfId="0" applyNumberFormat="1" applyFont="1" applyFill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 vertical="center" readingOrder="2"/>
    </xf>
    <xf numFmtId="0" fontId="16" fillId="6" borderId="1" xfId="0" applyFont="1" applyFill="1" applyBorder="1" applyAlignment="1">
      <alignment horizontal="center" vertical="center" readingOrder="2"/>
    </xf>
    <xf numFmtId="165" fontId="16" fillId="7" borderId="1" xfId="0" applyNumberFormat="1" applyFont="1" applyFill="1" applyBorder="1" applyAlignment="1">
      <alignment horizontal="center" vertical="center" readingOrder="2"/>
    </xf>
    <xf numFmtId="0" fontId="16" fillId="7" borderId="1" xfId="0" applyFont="1" applyFill="1" applyBorder="1" applyAlignment="1">
      <alignment horizontal="center" vertical="center"/>
    </xf>
    <xf numFmtId="170" fontId="16" fillId="6" borderId="1" xfId="0" applyNumberFormat="1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170" fontId="16" fillId="15" borderId="1" xfId="0" applyNumberFormat="1" applyFont="1" applyFill="1" applyBorder="1" applyAlignment="1">
      <alignment horizontal="center" vertical="center"/>
    </xf>
    <xf numFmtId="165" fontId="16" fillId="15" borderId="1" xfId="0" applyNumberFormat="1" applyFont="1" applyFill="1" applyBorder="1" applyAlignment="1">
      <alignment horizontal="center" vertical="center" readingOrder="2"/>
    </xf>
    <xf numFmtId="0" fontId="16" fillId="15" borderId="1" xfId="0" applyFont="1" applyFill="1" applyBorder="1" applyAlignment="1">
      <alignment horizontal="center" vertical="center" readingOrder="2"/>
    </xf>
    <xf numFmtId="169" fontId="16" fillId="15" borderId="1" xfId="0" applyNumberFormat="1" applyFont="1" applyFill="1" applyBorder="1" applyAlignment="1">
      <alignment horizontal="center" vertical="center"/>
    </xf>
    <xf numFmtId="170" fontId="16" fillId="7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readingOrder="2"/>
    </xf>
    <xf numFmtId="170" fontId="16" fillId="7" borderId="2" xfId="1" applyNumberFormat="1" applyFont="1" applyFill="1" applyBorder="1" applyAlignment="1">
      <alignment horizontal="center" vertical="center" readingOrder="2"/>
    </xf>
    <xf numFmtId="169" fontId="16" fillId="2" borderId="1" xfId="0" applyNumberFormat="1" applyFont="1" applyFill="1" applyBorder="1" applyAlignment="1">
      <alignment vertical="center"/>
    </xf>
    <xf numFmtId="169" fontId="16" fillId="2" borderId="1" xfId="0" applyNumberFormat="1" applyFont="1" applyFill="1" applyBorder="1" applyAlignment="1">
      <alignment horizontal="center"/>
    </xf>
    <xf numFmtId="169" fontId="16" fillId="6" borderId="1" xfId="0" applyNumberFormat="1" applyFont="1" applyFill="1" applyBorder="1" applyAlignment="1">
      <alignment horizontal="center"/>
    </xf>
    <xf numFmtId="170" fontId="16" fillId="6" borderId="1" xfId="0" applyNumberFormat="1" applyFont="1" applyFill="1" applyBorder="1" applyAlignment="1">
      <alignment horizontal="center"/>
    </xf>
    <xf numFmtId="169" fontId="16" fillId="15" borderId="1" xfId="0" applyNumberFormat="1" applyFont="1" applyFill="1" applyBorder="1" applyAlignment="1">
      <alignment horizontal="center"/>
    </xf>
    <xf numFmtId="170" fontId="16" fillId="15" borderId="1" xfId="0" applyNumberFormat="1" applyFont="1" applyFill="1" applyBorder="1" applyAlignment="1">
      <alignment horizontal="center"/>
    </xf>
    <xf numFmtId="169" fontId="16" fillId="7" borderId="1" xfId="0" applyNumberFormat="1" applyFont="1" applyFill="1" applyBorder="1" applyAlignment="1">
      <alignment horizontal="right" vertical="top"/>
    </xf>
    <xf numFmtId="169" fontId="16" fillId="2" borderId="1" xfId="0" applyNumberFormat="1" applyFont="1" applyFill="1" applyBorder="1" applyAlignment="1">
      <alignment horizontal="right" vertical="top"/>
    </xf>
    <xf numFmtId="170" fontId="16" fillId="6" borderId="1" xfId="0" applyNumberFormat="1" applyFont="1" applyFill="1" applyBorder="1" applyAlignment="1">
      <alignment horizontal="center" vertical="top"/>
    </xf>
    <xf numFmtId="169" fontId="16" fillId="7" borderId="1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center" vertical="center" readingOrder="2"/>
    </xf>
    <xf numFmtId="0" fontId="1" fillId="4" borderId="5" xfId="0" applyFont="1" applyFill="1" applyBorder="1" applyAlignment="1">
      <alignment horizontal="center" vertical="center" readingOrder="2"/>
    </xf>
    <xf numFmtId="0" fontId="11" fillId="11" borderId="3" xfId="0" applyFont="1" applyFill="1" applyBorder="1" applyAlignment="1">
      <alignment horizontal="center" vertical="center" readingOrder="2"/>
    </xf>
    <xf numFmtId="0" fontId="11" fillId="11" borderId="5" xfId="0" applyFont="1" applyFill="1" applyBorder="1" applyAlignment="1">
      <alignment horizontal="center" vertical="center" readingOrder="2"/>
    </xf>
    <xf numFmtId="0" fontId="11" fillId="4" borderId="3" xfId="0" applyFont="1" applyFill="1" applyBorder="1" applyAlignment="1">
      <alignment horizontal="center" vertical="center" readingOrder="2"/>
    </xf>
    <xf numFmtId="0" fontId="11" fillId="4" borderId="5" xfId="0" applyFont="1" applyFill="1" applyBorder="1" applyAlignment="1">
      <alignment horizontal="center" vertical="center" readingOrder="2"/>
    </xf>
    <xf numFmtId="0" fontId="20" fillId="3" borderId="3" xfId="0" applyFont="1" applyFill="1" applyBorder="1" applyAlignment="1">
      <alignment horizontal="left" vertical="center" wrapText="1" readingOrder="2"/>
    </xf>
    <xf numFmtId="0" fontId="20" fillId="3" borderId="5" xfId="0" applyFont="1" applyFill="1" applyBorder="1" applyAlignment="1">
      <alignment horizontal="left" vertical="center" wrapText="1" readingOrder="2"/>
    </xf>
    <xf numFmtId="0" fontId="20" fillId="3" borderId="3" xfId="0" applyFont="1" applyFill="1" applyBorder="1" applyAlignment="1">
      <alignment horizontal="center" vertical="center" wrapText="1" readingOrder="2"/>
    </xf>
    <xf numFmtId="0" fontId="20" fillId="3" borderId="5" xfId="0" applyFont="1" applyFill="1" applyBorder="1" applyAlignment="1">
      <alignment horizontal="center" vertical="center" wrapText="1" readingOrder="2"/>
    </xf>
    <xf numFmtId="166" fontId="11" fillId="8" borderId="6" xfId="0" applyNumberFormat="1" applyFont="1" applyFill="1" applyBorder="1" applyAlignment="1">
      <alignment horizontal="right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166" fontId="9" fillId="10" borderId="3" xfId="0" applyNumberFormat="1" applyFont="1" applyFill="1" applyBorder="1" applyAlignment="1">
      <alignment horizontal="center" vertical="center"/>
    </xf>
    <xf numFmtId="166" fontId="9" fillId="10" borderId="5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166" fontId="8" fillId="10" borderId="3" xfId="0" applyNumberFormat="1" applyFont="1" applyFill="1" applyBorder="1" applyAlignment="1">
      <alignment horizontal="center" vertical="center" wrapText="1"/>
    </xf>
    <xf numFmtId="166" fontId="8" fillId="10" borderId="5" xfId="0" applyNumberFormat="1" applyFont="1" applyFill="1" applyBorder="1" applyAlignment="1">
      <alignment horizontal="center" vertical="center"/>
    </xf>
  </cellXfs>
  <cellStyles count="2">
    <cellStyle name="60% - تمييز2" xfId="1" builtinId="36"/>
    <cellStyle name="عادي" xfId="0" builtinId="0"/>
  </cellStyles>
  <dxfs count="0"/>
  <tableStyles count="0" defaultTableStyle="TableStyleMedium2" defaultPivotStyle="PivotStyleLight16"/>
  <colors>
    <mruColors>
      <color rgb="FFECEF7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2"/>
  <sheetViews>
    <sheetView showZeros="0" rightToLeft="1" topLeftCell="V1" zoomScale="80" zoomScaleNormal="80" workbookViewId="0">
      <pane ySplit="2" topLeftCell="V58" activePane="bottomLeft" state="frozen"/>
      <selection activeCell="L14" sqref="L14"/>
      <selection pane="bottomLeft" activeCell="W11" sqref="W11"/>
    </sheetView>
  </sheetViews>
  <sheetFormatPr defaultRowHeight="20.25" x14ac:dyDescent="0.25"/>
  <cols>
    <col min="1" max="1" width="4.04296875" bestFit="1" customWidth="1"/>
    <col min="2" max="2" width="80.296875" style="5" customWidth="1"/>
    <col min="3" max="3" width="9.8046875" style="5" customWidth="1"/>
    <col min="4" max="4" width="14.46484375" style="5" customWidth="1"/>
    <col min="5" max="5" width="9.0703125" style="5" customWidth="1"/>
    <col min="6" max="6" width="13.23828125" style="5" customWidth="1"/>
    <col min="7" max="7" width="8.578125" style="5" customWidth="1"/>
    <col min="8" max="8" width="16.79296875" style="5" bestFit="1" customWidth="1"/>
    <col min="9" max="9" width="8.578125" style="5" customWidth="1"/>
    <col min="10" max="10" width="17.16015625" style="5" bestFit="1" customWidth="1"/>
    <col min="11" max="11" width="9.68359375" style="5" customWidth="1"/>
    <col min="12" max="12" width="12.74609375" style="5" customWidth="1"/>
    <col min="13" max="13" width="8.703125" customWidth="1"/>
    <col min="14" max="14" width="12.37890625" bestFit="1" customWidth="1"/>
    <col min="15" max="15" width="7.72265625" customWidth="1"/>
    <col min="16" max="16" width="12.9921875" customWidth="1"/>
    <col min="17" max="17" width="6.7421875" bestFit="1" customWidth="1"/>
    <col min="18" max="18" width="11.890625" bestFit="1" customWidth="1"/>
    <col min="19" max="19" width="7.23046875" customWidth="1"/>
    <col min="20" max="20" width="15.69140625" bestFit="1" customWidth="1"/>
    <col min="21" max="21" width="7.84375" customWidth="1"/>
    <col min="22" max="22" width="15.32421875" customWidth="1"/>
    <col min="23" max="23" width="8.82421875" bestFit="1" customWidth="1"/>
    <col min="24" max="24" width="13.60546875" bestFit="1" customWidth="1"/>
    <col min="25" max="25" width="15.69140625" style="2" bestFit="1" customWidth="1"/>
    <col min="26" max="26" width="10.6640625" bestFit="1" customWidth="1"/>
    <col min="27" max="27" width="10.91015625" style="1" customWidth="1"/>
    <col min="28" max="28" width="14.09765625" style="2" bestFit="1" customWidth="1"/>
  </cols>
  <sheetData>
    <row r="1" spans="1:28" ht="15" customHeight="1" x14ac:dyDescent="0.15">
      <c r="A1" s="71" t="s">
        <v>41</v>
      </c>
      <c r="B1" s="77" t="s">
        <v>37</v>
      </c>
      <c r="C1" s="75" t="s">
        <v>77</v>
      </c>
      <c r="D1" s="73" t="s">
        <v>78</v>
      </c>
      <c r="E1" s="75" t="s">
        <v>33</v>
      </c>
      <c r="F1" s="73" t="s">
        <v>79</v>
      </c>
      <c r="G1" s="75" t="s">
        <v>34</v>
      </c>
      <c r="H1" s="73" t="s">
        <v>80</v>
      </c>
      <c r="I1" s="75" t="s">
        <v>35</v>
      </c>
      <c r="J1" s="73" t="s">
        <v>81</v>
      </c>
      <c r="K1" s="75" t="s">
        <v>36</v>
      </c>
      <c r="L1" s="73" t="s">
        <v>82</v>
      </c>
      <c r="M1" s="75" t="s">
        <v>38</v>
      </c>
      <c r="N1" s="73" t="s">
        <v>83</v>
      </c>
      <c r="O1" s="75" t="s">
        <v>39</v>
      </c>
      <c r="P1" s="73" t="s">
        <v>84</v>
      </c>
      <c r="Q1" s="75" t="s">
        <v>40</v>
      </c>
      <c r="R1" s="73" t="s">
        <v>85</v>
      </c>
      <c r="S1" s="75" t="s">
        <v>69</v>
      </c>
      <c r="T1" s="73" t="s">
        <v>86</v>
      </c>
      <c r="U1" s="75" t="s">
        <v>94</v>
      </c>
      <c r="V1" s="73" t="s">
        <v>95</v>
      </c>
      <c r="W1" s="75" t="s">
        <v>76</v>
      </c>
      <c r="X1" s="73" t="s">
        <v>87</v>
      </c>
      <c r="Y1" s="75" t="s">
        <v>0</v>
      </c>
      <c r="Z1" s="79" t="s">
        <v>1</v>
      </c>
      <c r="AA1" s="79" t="s">
        <v>93</v>
      </c>
      <c r="AB1" s="75" t="s">
        <v>88</v>
      </c>
    </row>
    <row r="2" spans="1:28" ht="21" customHeight="1" x14ac:dyDescent="0.15">
      <c r="A2" s="72"/>
      <c r="B2" s="78"/>
      <c r="C2" s="76"/>
      <c r="D2" s="74"/>
      <c r="E2" s="76"/>
      <c r="F2" s="74"/>
      <c r="G2" s="76"/>
      <c r="H2" s="74"/>
      <c r="I2" s="76"/>
      <c r="J2" s="74"/>
      <c r="K2" s="76"/>
      <c r="L2" s="74"/>
      <c r="M2" s="76"/>
      <c r="N2" s="74"/>
      <c r="O2" s="76"/>
      <c r="P2" s="74"/>
      <c r="Q2" s="76"/>
      <c r="R2" s="74"/>
      <c r="S2" s="76"/>
      <c r="T2" s="74"/>
      <c r="U2" s="76"/>
      <c r="V2" s="74"/>
      <c r="W2" s="76"/>
      <c r="X2" s="74"/>
      <c r="Y2" s="76"/>
      <c r="Z2" s="80"/>
      <c r="AA2" s="80"/>
      <c r="AB2" s="76"/>
    </row>
    <row r="3" spans="1:28" x14ac:dyDescent="0.2">
      <c r="A3" s="3">
        <v>1</v>
      </c>
      <c r="B3" s="11" t="s">
        <v>42</v>
      </c>
      <c r="C3" s="41"/>
      <c r="D3" s="42"/>
      <c r="E3" s="41"/>
      <c r="F3" s="42"/>
      <c r="G3" s="41"/>
      <c r="H3" s="42"/>
      <c r="I3" s="41"/>
      <c r="J3" s="42"/>
      <c r="K3" s="41"/>
      <c r="L3" s="42"/>
      <c r="M3" s="43"/>
      <c r="N3" s="42"/>
      <c r="O3" s="44"/>
      <c r="P3" s="42"/>
      <c r="Q3" s="44"/>
      <c r="R3" s="42"/>
      <c r="S3" s="44"/>
      <c r="T3" s="45"/>
      <c r="U3" s="62"/>
      <c r="V3" s="62"/>
      <c r="W3" s="44"/>
      <c r="X3" s="42"/>
      <c r="Y3" s="15">
        <f>SUM(C3,E3,G3,I3,K3,M3,O3,Q3,S3,U3,W3)</f>
        <v>0</v>
      </c>
      <c r="Z3" s="35"/>
      <c r="AA3" s="35"/>
      <c r="AB3" s="37">
        <f>SUM(D3,F3,H3,J3,L3,N3,P3,R3,T3,V3,X3)</f>
        <v>0</v>
      </c>
    </row>
    <row r="4" spans="1:28" x14ac:dyDescent="0.2">
      <c r="A4" s="3">
        <v>2</v>
      </c>
      <c r="B4" s="11" t="s">
        <v>43</v>
      </c>
      <c r="C4" s="41"/>
      <c r="D4" s="42"/>
      <c r="E4" s="41"/>
      <c r="F4" s="42"/>
      <c r="G4" s="41"/>
      <c r="H4" s="42"/>
      <c r="I4" s="41"/>
      <c r="J4" s="42"/>
      <c r="K4" s="41"/>
      <c r="L4" s="42"/>
      <c r="M4" s="43"/>
      <c r="N4" s="42"/>
      <c r="O4" s="44"/>
      <c r="P4" s="42"/>
      <c r="Q4" s="44"/>
      <c r="R4" s="42"/>
      <c r="S4" s="44"/>
      <c r="T4" s="45"/>
      <c r="U4" s="62"/>
      <c r="V4" s="62"/>
      <c r="W4" s="44"/>
      <c r="X4" s="42"/>
      <c r="Y4" s="15">
        <f t="shared" ref="Y4:Y61" si="0">SUM(C4,E4,G4,I4,K4,M4,O4,Q4,S4,U4,W4)</f>
        <v>0</v>
      </c>
      <c r="Z4" s="35"/>
      <c r="AA4" s="35"/>
      <c r="AB4" s="37">
        <f t="shared" ref="AB4:AB61" si="1">SUM(D4,F4,H4,J4,L4,N4,P4,R4,T4,V4,X4)</f>
        <v>0</v>
      </c>
    </row>
    <row r="5" spans="1:28" x14ac:dyDescent="0.2">
      <c r="A5" s="3">
        <v>3</v>
      </c>
      <c r="B5" s="12" t="s">
        <v>44</v>
      </c>
      <c r="C5" s="41"/>
      <c r="D5" s="42"/>
      <c r="E5" s="41"/>
      <c r="F5" s="42"/>
      <c r="G5" s="41"/>
      <c r="H5" s="42"/>
      <c r="I5" s="41"/>
      <c r="J5" s="42"/>
      <c r="K5" s="41"/>
      <c r="L5" s="42"/>
      <c r="M5" s="43"/>
      <c r="N5" s="42"/>
      <c r="O5" s="44"/>
      <c r="P5" s="42"/>
      <c r="Q5" s="44"/>
      <c r="R5" s="42"/>
      <c r="S5" s="44"/>
      <c r="T5" s="45"/>
      <c r="U5" s="62"/>
      <c r="V5" s="62"/>
      <c r="W5" s="44"/>
      <c r="X5" s="42"/>
      <c r="Y5" s="15">
        <f t="shared" si="0"/>
        <v>0</v>
      </c>
      <c r="Z5" s="35"/>
      <c r="AA5" s="35"/>
      <c r="AB5" s="37">
        <f t="shared" si="1"/>
        <v>0</v>
      </c>
    </row>
    <row r="6" spans="1:28" x14ac:dyDescent="0.2">
      <c r="A6" s="3">
        <v>4</v>
      </c>
      <c r="B6" s="12" t="s">
        <v>45</v>
      </c>
      <c r="C6" s="41"/>
      <c r="D6" s="42"/>
      <c r="E6" s="41"/>
      <c r="F6" s="42"/>
      <c r="G6" s="41"/>
      <c r="H6" s="42"/>
      <c r="I6" s="41"/>
      <c r="J6" s="42"/>
      <c r="K6" s="41"/>
      <c r="L6" s="42"/>
      <c r="M6" s="43"/>
      <c r="N6" s="42"/>
      <c r="O6" s="44"/>
      <c r="P6" s="42"/>
      <c r="Q6" s="44"/>
      <c r="R6" s="42"/>
      <c r="S6" s="44"/>
      <c r="T6" s="45"/>
      <c r="U6" s="62"/>
      <c r="V6" s="62"/>
      <c r="W6" s="44"/>
      <c r="X6" s="42"/>
      <c r="Y6" s="15">
        <f t="shared" si="0"/>
        <v>0</v>
      </c>
      <c r="Z6" s="35"/>
      <c r="AA6" s="35"/>
      <c r="AB6" s="37">
        <f t="shared" si="1"/>
        <v>0</v>
      </c>
    </row>
    <row r="7" spans="1:28" x14ac:dyDescent="0.2">
      <c r="A7" s="3">
        <v>5</v>
      </c>
      <c r="B7" s="13" t="s">
        <v>46</v>
      </c>
      <c r="C7" s="46"/>
      <c r="D7" s="52"/>
      <c r="E7" s="46"/>
      <c r="F7" s="52"/>
      <c r="G7" s="46"/>
      <c r="H7" s="52"/>
      <c r="I7" s="46"/>
      <c r="J7" s="52"/>
      <c r="K7" s="46"/>
      <c r="L7" s="52"/>
      <c r="M7" s="48"/>
      <c r="N7" s="52"/>
      <c r="O7" s="49"/>
      <c r="P7" s="52"/>
      <c r="Q7" s="49"/>
      <c r="R7" s="52"/>
      <c r="S7" s="49"/>
      <c r="T7" s="47"/>
      <c r="U7" s="63"/>
      <c r="V7" s="63"/>
      <c r="W7" s="49"/>
      <c r="X7" s="52"/>
      <c r="Y7" s="15">
        <f t="shared" si="0"/>
        <v>0</v>
      </c>
      <c r="Z7" s="35"/>
      <c r="AA7" s="35"/>
      <c r="AB7" s="37">
        <f t="shared" si="1"/>
        <v>0</v>
      </c>
    </row>
    <row r="8" spans="1:28" x14ac:dyDescent="0.2">
      <c r="A8" s="3">
        <v>6</v>
      </c>
      <c r="B8" s="13" t="s">
        <v>47</v>
      </c>
      <c r="C8" s="46"/>
      <c r="D8" s="52"/>
      <c r="E8" s="46"/>
      <c r="F8" s="52"/>
      <c r="G8" s="46"/>
      <c r="H8" s="52"/>
      <c r="I8" s="46"/>
      <c r="J8" s="52"/>
      <c r="K8" s="46"/>
      <c r="L8" s="52"/>
      <c r="M8" s="48"/>
      <c r="N8" s="52"/>
      <c r="O8" s="49"/>
      <c r="P8" s="52"/>
      <c r="Q8" s="49"/>
      <c r="R8" s="52"/>
      <c r="S8" s="49"/>
      <c r="T8" s="47"/>
      <c r="U8" s="63"/>
      <c r="V8" s="63"/>
      <c r="W8" s="49"/>
      <c r="X8" s="52"/>
      <c r="Y8" s="15">
        <f t="shared" si="0"/>
        <v>0</v>
      </c>
      <c r="Z8" s="35"/>
      <c r="AA8" s="35"/>
      <c r="AB8" s="37">
        <f t="shared" si="1"/>
        <v>0</v>
      </c>
    </row>
    <row r="9" spans="1:28" x14ac:dyDescent="0.2">
      <c r="A9" s="3">
        <v>7</v>
      </c>
      <c r="B9" s="12" t="s">
        <v>48</v>
      </c>
      <c r="C9" s="41"/>
      <c r="D9" s="42"/>
      <c r="E9" s="41"/>
      <c r="F9" s="42"/>
      <c r="G9" s="41"/>
      <c r="H9" s="42"/>
      <c r="I9" s="41"/>
      <c r="J9" s="42"/>
      <c r="K9" s="41"/>
      <c r="L9" s="42"/>
      <c r="M9" s="43"/>
      <c r="N9" s="42"/>
      <c r="O9" s="44"/>
      <c r="P9" s="42"/>
      <c r="Q9" s="44"/>
      <c r="R9" s="42"/>
      <c r="S9" s="44"/>
      <c r="T9" s="45"/>
      <c r="U9" s="62"/>
      <c r="V9" s="62"/>
      <c r="W9" s="44"/>
      <c r="X9" s="42"/>
      <c r="Y9" s="15">
        <f t="shared" si="0"/>
        <v>0</v>
      </c>
      <c r="Z9" s="35"/>
      <c r="AA9" s="35"/>
      <c r="AB9" s="37">
        <f t="shared" si="1"/>
        <v>0</v>
      </c>
    </row>
    <row r="10" spans="1:28" x14ac:dyDescent="0.2">
      <c r="A10" s="3">
        <v>8</v>
      </c>
      <c r="B10" s="13" t="s">
        <v>2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64"/>
      <c r="V10" s="64"/>
      <c r="W10" s="42"/>
      <c r="X10" s="42"/>
      <c r="Y10" s="15">
        <f t="shared" si="0"/>
        <v>0</v>
      </c>
      <c r="Z10" s="35"/>
      <c r="AA10" s="35"/>
      <c r="AB10" s="37">
        <f t="shared" si="1"/>
        <v>0</v>
      </c>
    </row>
    <row r="11" spans="1:28" x14ac:dyDescent="0.2">
      <c r="A11" s="3">
        <v>9</v>
      </c>
      <c r="B11" s="12" t="s">
        <v>49</v>
      </c>
      <c r="C11" s="41"/>
      <c r="D11" s="42"/>
      <c r="E11" s="41"/>
      <c r="F11" s="42"/>
      <c r="G11" s="41"/>
      <c r="H11" s="42"/>
      <c r="I11" s="41"/>
      <c r="J11" s="42"/>
      <c r="K11" s="41"/>
      <c r="L11" s="42"/>
      <c r="M11" s="43"/>
      <c r="N11" s="42"/>
      <c r="O11" s="44"/>
      <c r="P11" s="42"/>
      <c r="Q11" s="44"/>
      <c r="R11" s="42"/>
      <c r="S11" s="44"/>
      <c r="T11" s="45"/>
      <c r="U11" s="61"/>
      <c r="V11" s="61"/>
      <c r="W11" s="59">
        <v>15</v>
      </c>
      <c r="X11" s="58">
        <v>1400000</v>
      </c>
      <c r="Y11" s="15">
        <f t="shared" si="0"/>
        <v>15</v>
      </c>
      <c r="Z11" s="35"/>
      <c r="AA11" s="35"/>
      <c r="AB11" s="37">
        <f t="shared" si="1"/>
        <v>1400000</v>
      </c>
    </row>
    <row r="12" spans="1:28" x14ac:dyDescent="0.2">
      <c r="A12" s="3">
        <v>10</v>
      </c>
      <c r="B12" s="12" t="s">
        <v>3</v>
      </c>
      <c r="C12" s="41"/>
      <c r="D12" s="42"/>
      <c r="E12" s="41"/>
      <c r="F12" s="42"/>
      <c r="G12" s="41"/>
      <c r="H12" s="42"/>
      <c r="I12" s="41"/>
      <c r="J12" s="42"/>
      <c r="K12" s="41"/>
      <c r="L12" s="42"/>
      <c r="M12" s="43"/>
      <c r="N12" s="42"/>
      <c r="O12" s="44"/>
      <c r="P12" s="42"/>
      <c r="Q12" s="44"/>
      <c r="R12" s="42"/>
      <c r="S12" s="44"/>
      <c r="T12" s="45"/>
      <c r="U12" s="62"/>
      <c r="V12" s="62"/>
      <c r="W12" s="44"/>
      <c r="X12" s="42"/>
      <c r="Y12" s="15">
        <f t="shared" si="0"/>
        <v>0</v>
      </c>
      <c r="Z12" s="35"/>
      <c r="AA12" s="35"/>
      <c r="AB12" s="37">
        <f t="shared" si="1"/>
        <v>0</v>
      </c>
    </row>
    <row r="13" spans="1:28" x14ac:dyDescent="0.2">
      <c r="A13" s="3">
        <v>11</v>
      </c>
      <c r="B13" s="12" t="s">
        <v>4</v>
      </c>
      <c r="C13" s="41"/>
      <c r="D13" s="42"/>
      <c r="E13" s="41"/>
      <c r="F13" s="42"/>
      <c r="G13" s="41"/>
      <c r="H13" s="42"/>
      <c r="I13" s="41"/>
      <c r="J13" s="42"/>
      <c r="K13" s="41"/>
      <c r="L13" s="42"/>
      <c r="M13" s="43"/>
      <c r="N13" s="42"/>
      <c r="O13" s="44"/>
      <c r="P13" s="42"/>
      <c r="Q13" s="44"/>
      <c r="R13" s="42"/>
      <c r="S13" s="44"/>
      <c r="T13" s="45"/>
      <c r="U13" s="62"/>
      <c r="V13" s="62"/>
      <c r="W13" s="44"/>
      <c r="X13" s="42"/>
      <c r="Y13" s="15">
        <f t="shared" si="0"/>
        <v>0</v>
      </c>
      <c r="Z13" s="35"/>
      <c r="AA13" s="35"/>
      <c r="AB13" s="37">
        <f t="shared" si="1"/>
        <v>0</v>
      </c>
    </row>
    <row r="14" spans="1:28" x14ac:dyDescent="0.2">
      <c r="A14" s="3">
        <v>12</v>
      </c>
      <c r="B14" s="12" t="s">
        <v>5</v>
      </c>
      <c r="C14" s="41">
        <v>3</v>
      </c>
      <c r="D14" s="42">
        <v>150000</v>
      </c>
      <c r="E14" s="41">
        <v>16</v>
      </c>
      <c r="F14" s="42">
        <v>800000</v>
      </c>
      <c r="G14" s="41">
        <v>3</v>
      </c>
      <c r="H14" s="42">
        <v>150000</v>
      </c>
      <c r="I14" s="41"/>
      <c r="J14" s="42"/>
      <c r="K14" s="41"/>
      <c r="L14" s="42"/>
      <c r="M14" s="43"/>
      <c r="N14" s="42"/>
      <c r="O14" s="44"/>
      <c r="P14" s="42"/>
      <c r="Q14" s="44">
        <v>5</v>
      </c>
      <c r="R14" s="42">
        <v>250000</v>
      </c>
      <c r="S14" s="44">
        <v>2</v>
      </c>
      <c r="T14" s="61">
        <v>100000</v>
      </c>
      <c r="U14" s="61">
        <v>12</v>
      </c>
      <c r="V14" s="68">
        <v>600000</v>
      </c>
      <c r="W14" s="44"/>
      <c r="X14" s="42"/>
      <c r="Y14" s="15">
        <f t="shared" si="0"/>
        <v>41</v>
      </c>
      <c r="Z14" s="35"/>
      <c r="AA14" s="35"/>
      <c r="AB14" s="37">
        <f t="shared" si="1"/>
        <v>2050000</v>
      </c>
    </row>
    <row r="15" spans="1:28" x14ac:dyDescent="0.2">
      <c r="A15" s="3">
        <v>13</v>
      </c>
      <c r="B15" s="14" t="s">
        <v>6</v>
      </c>
      <c r="C15" s="51">
        <v>6</v>
      </c>
      <c r="D15" s="58">
        <v>300000</v>
      </c>
      <c r="E15" s="51">
        <v>19</v>
      </c>
      <c r="F15" s="58">
        <v>950000</v>
      </c>
      <c r="G15" s="51"/>
      <c r="H15" s="58"/>
      <c r="I15" s="51"/>
      <c r="J15" s="58"/>
      <c r="K15" s="51">
        <v>4</v>
      </c>
      <c r="L15" s="58">
        <v>200000</v>
      </c>
      <c r="M15" s="50"/>
      <c r="N15" s="58"/>
      <c r="O15" s="59">
        <v>4</v>
      </c>
      <c r="P15" s="58">
        <v>200000</v>
      </c>
      <c r="Q15" s="59">
        <v>4</v>
      </c>
      <c r="R15" s="58">
        <v>200000</v>
      </c>
      <c r="S15" s="59">
        <v>3</v>
      </c>
      <c r="T15" s="70">
        <v>150000</v>
      </c>
      <c r="U15" s="67">
        <v>9</v>
      </c>
      <c r="V15" s="67">
        <v>450000</v>
      </c>
      <c r="W15" s="59"/>
      <c r="X15" s="58"/>
      <c r="Y15" s="15">
        <f t="shared" si="0"/>
        <v>49</v>
      </c>
      <c r="Z15" s="35"/>
      <c r="AA15" s="35"/>
      <c r="AB15" s="37">
        <f t="shared" si="1"/>
        <v>2450000</v>
      </c>
    </row>
    <row r="16" spans="1:28" x14ac:dyDescent="0.2">
      <c r="A16" s="3">
        <v>14</v>
      </c>
      <c r="B16" s="13" t="s">
        <v>7</v>
      </c>
      <c r="C16" s="52">
        <v>15</v>
      </c>
      <c r="D16" s="52">
        <v>750000</v>
      </c>
      <c r="E16" s="52">
        <v>10</v>
      </c>
      <c r="F16" s="52">
        <v>500000</v>
      </c>
      <c r="G16" s="52">
        <v>11</v>
      </c>
      <c r="H16" s="52">
        <v>550000</v>
      </c>
      <c r="I16" s="52">
        <v>3</v>
      </c>
      <c r="J16" s="52">
        <v>150000</v>
      </c>
      <c r="K16" s="52">
        <v>19</v>
      </c>
      <c r="L16" s="52">
        <v>950000</v>
      </c>
      <c r="M16" s="52">
        <v>4</v>
      </c>
      <c r="N16" s="52">
        <v>200000</v>
      </c>
      <c r="O16" s="52">
        <v>4</v>
      </c>
      <c r="P16" s="52">
        <v>200000</v>
      </c>
      <c r="Q16" s="52"/>
      <c r="R16" s="52"/>
      <c r="S16" s="52">
        <v>2</v>
      </c>
      <c r="T16" s="52">
        <v>100000</v>
      </c>
      <c r="U16" s="64">
        <v>17</v>
      </c>
      <c r="V16" s="69">
        <v>850000</v>
      </c>
      <c r="W16" s="52"/>
      <c r="X16" s="52"/>
      <c r="Y16" s="15">
        <f t="shared" si="0"/>
        <v>85</v>
      </c>
      <c r="Z16" s="35"/>
      <c r="AA16" s="35"/>
      <c r="AB16" s="37">
        <f t="shared" si="1"/>
        <v>4250000</v>
      </c>
    </row>
    <row r="17" spans="1:28" x14ac:dyDescent="0.2">
      <c r="A17" s="3">
        <v>15</v>
      </c>
      <c r="B17" s="12" t="s">
        <v>8</v>
      </c>
      <c r="C17" s="41"/>
      <c r="D17" s="42"/>
      <c r="E17" s="41"/>
      <c r="F17" s="42"/>
      <c r="G17" s="41"/>
      <c r="H17" s="42"/>
      <c r="I17" s="41"/>
      <c r="J17" s="42"/>
      <c r="K17" s="41"/>
      <c r="L17" s="42"/>
      <c r="M17" s="43"/>
      <c r="N17" s="42"/>
      <c r="O17" s="44"/>
      <c r="P17" s="42"/>
      <c r="Q17" s="44"/>
      <c r="R17" s="42"/>
      <c r="S17" s="44"/>
      <c r="T17" s="45"/>
      <c r="U17" s="62"/>
      <c r="V17" s="62"/>
      <c r="W17" s="44"/>
      <c r="X17" s="42"/>
      <c r="Y17" s="15">
        <f t="shared" si="0"/>
        <v>0</v>
      </c>
      <c r="Z17" s="35"/>
      <c r="AA17" s="35"/>
      <c r="AB17" s="37">
        <f t="shared" si="1"/>
        <v>0</v>
      </c>
    </row>
    <row r="18" spans="1:28" x14ac:dyDescent="0.2">
      <c r="A18" s="3">
        <v>16</v>
      </c>
      <c r="B18" s="13" t="s">
        <v>9</v>
      </c>
      <c r="C18" s="52">
        <v>125</v>
      </c>
      <c r="D18" s="52">
        <v>6250000</v>
      </c>
      <c r="E18" s="52">
        <v>64</v>
      </c>
      <c r="F18" s="52">
        <v>3200000</v>
      </c>
      <c r="G18" s="52">
        <v>3</v>
      </c>
      <c r="H18" s="52">
        <v>150000</v>
      </c>
      <c r="I18" s="52"/>
      <c r="J18" s="52"/>
      <c r="K18" s="52">
        <v>1</v>
      </c>
      <c r="L18" s="52">
        <v>50000</v>
      </c>
      <c r="M18" s="52">
        <v>2</v>
      </c>
      <c r="N18" s="52">
        <v>100000</v>
      </c>
      <c r="O18" s="52">
        <v>3</v>
      </c>
      <c r="P18" s="52">
        <v>150000</v>
      </c>
      <c r="Q18" s="52">
        <v>1</v>
      </c>
      <c r="R18" s="52">
        <v>50000</v>
      </c>
      <c r="S18" s="52"/>
      <c r="T18" s="52"/>
      <c r="U18" s="64"/>
      <c r="V18" s="64"/>
      <c r="W18" s="52"/>
      <c r="X18" s="52"/>
      <c r="Y18" s="15">
        <f t="shared" si="0"/>
        <v>199</v>
      </c>
      <c r="Z18" s="35"/>
      <c r="AA18" s="35"/>
      <c r="AB18" s="37">
        <f t="shared" si="1"/>
        <v>9950000</v>
      </c>
    </row>
    <row r="19" spans="1:28" x14ac:dyDescent="0.2">
      <c r="A19" s="3">
        <v>17</v>
      </c>
      <c r="B19" s="12" t="s">
        <v>10</v>
      </c>
      <c r="C19" s="41"/>
      <c r="D19" s="42"/>
      <c r="E19" s="41"/>
      <c r="F19" s="42"/>
      <c r="G19" s="41"/>
      <c r="H19" s="42"/>
      <c r="I19" s="41"/>
      <c r="J19" s="42"/>
      <c r="K19" s="41"/>
      <c r="L19" s="42"/>
      <c r="M19" s="43"/>
      <c r="N19" s="42"/>
      <c r="O19" s="44"/>
      <c r="P19" s="42"/>
      <c r="Q19" s="44"/>
      <c r="R19" s="42"/>
      <c r="S19" s="44"/>
      <c r="T19" s="45"/>
      <c r="U19" s="62"/>
      <c r="V19" s="62"/>
      <c r="W19" s="44"/>
      <c r="X19" s="42"/>
      <c r="Y19" s="15">
        <f t="shared" si="0"/>
        <v>0</v>
      </c>
      <c r="Z19" s="35"/>
      <c r="AA19" s="35"/>
      <c r="AB19" s="37">
        <f t="shared" si="1"/>
        <v>0</v>
      </c>
    </row>
    <row r="20" spans="1:28" x14ac:dyDescent="0.2">
      <c r="A20" s="3">
        <v>18</v>
      </c>
      <c r="B20" s="13" t="s">
        <v>50</v>
      </c>
      <c r="C20" s="52"/>
      <c r="D20" s="52"/>
      <c r="E20" s="52">
        <v>6</v>
      </c>
      <c r="F20" s="52">
        <v>300000</v>
      </c>
      <c r="G20" s="52">
        <v>6</v>
      </c>
      <c r="H20" s="52">
        <v>300000</v>
      </c>
      <c r="I20" s="52">
        <v>3</v>
      </c>
      <c r="J20" s="52">
        <v>150000</v>
      </c>
      <c r="K20" s="52">
        <v>2</v>
      </c>
      <c r="L20" s="52">
        <v>100000</v>
      </c>
      <c r="M20" s="52"/>
      <c r="N20" s="52"/>
      <c r="O20" s="52"/>
      <c r="P20" s="52"/>
      <c r="Q20" s="52"/>
      <c r="R20" s="52"/>
      <c r="S20" s="52"/>
      <c r="T20" s="52"/>
      <c r="U20" s="64">
        <v>9</v>
      </c>
      <c r="V20" s="64">
        <v>450000</v>
      </c>
      <c r="W20" s="52"/>
      <c r="X20" s="52"/>
      <c r="Y20" s="15">
        <f t="shared" si="0"/>
        <v>26</v>
      </c>
      <c r="Z20" s="35"/>
      <c r="AA20" s="35"/>
      <c r="AB20" s="37">
        <f t="shared" si="1"/>
        <v>1300000</v>
      </c>
    </row>
    <row r="21" spans="1:28" x14ac:dyDescent="0.2">
      <c r="A21" s="3">
        <v>19</v>
      </c>
      <c r="B21" s="12" t="s">
        <v>11</v>
      </c>
      <c r="C21" s="41"/>
      <c r="D21" s="42"/>
      <c r="E21" s="41"/>
      <c r="F21" s="42"/>
      <c r="G21" s="41"/>
      <c r="H21" s="42"/>
      <c r="I21" s="41"/>
      <c r="J21" s="42"/>
      <c r="K21" s="41"/>
      <c r="L21" s="42"/>
      <c r="M21" s="43">
        <v>3</v>
      </c>
      <c r="N21" s="42">
        <v>150000</v>
      </c>
      <c r="O21" s="44"/>
      <c r="P21" s="42"/>
      <c r="Q21" s="44"/>
      <c r="R21" s="42"/>
      <c r="S21" s="44"/>
      <c r="T21" s="45"/>
      <c r="U21" s="62"/>
      <c r="V21" s="62"/>
      <c r="W21" s="44"/>
      <c r="X21" s="42"/>
      <c r="Y21" s="15">
        <f t="shared" si="0"/>
        <v>3</v>
      </c>
      <c r="Z21" s="35"/>
      <c r="AA21" s="35"/>
      <c r="AB21" s="37">
        <f t="shared" si="1"/>
        <v>150000</v>
      </c>
    </row>
    <row r="22" spans="1:28" x14ac:dyDescent="0.2">
      <c r="A22" s="3">
        <v>20</v>
      </c>
      <c r="B22" s="12" t="s">
        <v>12</v>
      </c>
      <c r="C22" s="41"/>
      <c r="D22" s="42"/>
      <c r="E22" s="41"/>
      <c r="F22" s="42"/>
      <c r="G22" s="41"/>
      <c r="H22" s="42"/>
      <c r="I22" s="41"/>
      <c r="J22" s="42"/>
      <c r="K22" s="41"/>
      <c r="L22" s="42"/>
      <c r="M22" s="43"/>
      <c r="N22" s="42"/>
      <c r="O22" s="44"/>
      <c r="P22" s="42"/>
      <c r="Q22" s="44"/>
      <c r="R22" s="42"/>
      <c r="S22" s="44"/>
      <c r="T22" s="45"/>
      <c r="U22" s="62"/>
      <c r="V22" s="62"/>
      <c r="W22" s="44"/>
      <c r="X22" s="42"/>
      <c r="Y22" s="15">
        <f t="shared" si="0"/>
        <v>0</v>
      </c>
      <c r="Z22" s="35"/>
      <c r="AA22" s="35"/>
      <c r="AB22" s="37">
        <f t="shared" si="1"/>
        <v>0</v>
      </c>
    </row>
    <row r="23" spans="1:28" x14ac:dyDescent="0.2">
      <c r="A23" s="3">
        <v>21</v>
      </c>
      <c r="B23" s="11" t="s">
        <v>13</v>
      </c>
      <c r="C23" s="41"/>
      <c r="D23" s="42"/>
      <c r="E23" s="41"/>
      <c r="F23" s="42"/>
      <c r="G23" s="41"/>
      <c r="H23" s="42"/>
      <c r="I23" s="41"/>
      <c r="J23" s="42"/>
      <c r="K23" s="41"/>
      <c r="L23" s="42"/>
      <c r="M23" s="43"/>
      <c r="N23" s="42"/>
      <c r="O23" s="44"/>
      <c r="P23" s="42"/>
      <c r="Q23" s="44"/>
      <c r="R23" s="42"/>
      <c r="S23" s="44"/>
      <c r="T23" s="45"/>
      <c r="U23" s="62"/>
      <c r="V23" s="62"/>
      <c r="W23" s="44"/>
      <c r="X23" s="42"/>
      <c r="Y23" s="15">
        <f t="shared" si="0"/>
        <v>0</v>
      </c>
      <c r="Z23" s="35"/>
      <c r="AA23" s="35"/>
      <c r="AB23" s="37">
        <f t="shared" si="1"/>
        <v>0</v>
      </c>
    </row>
    <row r="24" spans="1:28" x14ac:dyDescent="0.2">
      <c r="A24" s="3">
        <v>22</v>
      </c>
      <c r="B24" s="13" t="s">
        <v>14</v>
      </c>
      <c r="C24" s="52"/>
      <c r="D24" s="52"/>
      <c r="E24" s="52">
        <v>2</v>
      </c>
      <c r="F24" s="52">
        <v>100000</v>
      </c>
      <c r="G24" s="52"/>
      <c r="H24" s="52"/>
      <c r="I24" s="52"/>
      <c r="J24" s="52"/>
      <c r="K24" s="52">
        <v>1</v>
      </c>
      <c r="L24" s="52">
        <v>50000</v>
      </c>
      <c r="M24" s="52"/>
      <c r="N24" s="52"/>
      <c r="O24" s="52"/>
      <c r="P24" s="52"/>
      <c r="Q24" s="52"/>
      <c r="R24" s="52"/>
      <c r="S24" s="52"/>
      <c r="T24" s="52"/>
      <c r="U24" s="64"/>
      <c r="V24" s="64"/>
      <c r="W24" s="52"/>
      <c r="X24" s="52"/>
      <c r="Y24" s="15">
        <f t="shared" si="0"/>
        <v>3</v>
      </c>
      <c r="Z24" s="35"/>
      <c r="AA24" s="35"/>
      <c r="AB24" s="37">
        <f t="shared" si="1"/>
        <v>150000</v>
      </c>
    </row>
    <row r="25" spans="1:28" x14ac:dyDescent="0.2">
      <c r="A25" s="3">
        <v>23</v>
      </c>
      <c r="B25" s="12" t="s">
        <v>15</v>
      </c>
      <c r="C25" s="41"/>
      <c r="D25" s="42"/>
      <c r="E25" s="41"/>
      <c r="F25" s="42"/>
      <c r="G25" s="41"/>
      <c r="H25" s="42"/>
      <c r="I25" s="41"/>
      <c r="J25" s="42"/>
      <c r="K25" s="41"/>
      <c r="L25" s="42"/>
      <c r="M25" s="43"/>
      <c r="N25" s="42"/>
      <c r="O25" s="44"/>
      <c r="P25" s="42"/>
      <c r="Q25" s="44"/>
      <c r="R25" s="42"/>
      <c r="S25" s="44"/>
      <c r="T25" s="45"/>
      <c r="U25" s="62"/>
      <c r="V25" s="62"/>
      <c r="W25" s="44"/>
      <c r="X25" s="42"/>
      <c r="Y25" s="15">
        <f t="shared" si="0"/>
        <v>0</v>
      </c>
      <c r="Z25" s="35"/>
      <c r="AA25" s="35"/>
      <c r="AB25" s="37">
        <f t="shared" si="1"/>
        <v>0</v>
      </c>
    </row>
    <row r="26" spans="1:28" x14ac:dyDescent="0.2">
      <c r="A26" s="3">
        <v>24</v>
      </c>
      <c r="B26" s="11" t="s">
        <v>65</v>
      </c>
      <c r="C26" s="41"/>
      <c r="D26" s="42"/>
      <c r="E26" s="41">
        <v>3</v>
      </c>
      <c r="F26" s="42">
        <v>150000</v>
      </c>
      <c r="G26" s="41"/>
      <c r="H26" s="42"/>
      <c r="I26" s="41"/>
      <c r="J26" s="42"/>
      <c r="K26" s="41"/>
      <c r="L26" s="42"/>
      <c r="M26" s="43"/>
      <c r="N26" s="42"/>
      <c r="O26" s="44"/>
      <c r="P26" s="42"/>
      <c r="Q26" s="44"/>
      <c r="R26" s="42"/>
      <c r="S26" s="44"/>
      <c r="T26" s="45"/>
      <c r="U26" s="62"/>
      <c r="V26" s="62"/>
      <c r="W26" s="44"/>
      <c r="X26" s="42"/>
      <c r="Y26" s="15">
        <f t="shared" si="0"/>
        <v>3</v>
      </c>
      <c r="Z26" s="35"/>
      <c r="AA26" s="36"/>
      <c r="AB26" s="37">
        <f t="shared" si="1"/>
        <v>150000</v>
      </c>
    </row>
    <row r="27" spans="1:28" x14ac:dyDescent="0.2">
      <c r="A27" s="3">
        <v>25</v>
      </c>
      <c r="B27" s="13" t="s">
        <v>16</v>
      </c>
      <c r="C27" s="52">
        <v>1</v>
      </c>
      <c r="D27" s="52">
        <v>50000</v>
      </c>
      <c r="E27" s="52">
        <v>6</v>
      </c>
      <c r="F27" s="52">
        <v>300000</v>
      </c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64"/>
      <c r="V27" s="64"/>
      <c r="W27" s="52"/>
      <c r="X27" s="52"/>
      <c r="Y27" s="15">
        <f t="shared" si="0"/>
        <v>7</v>
      </c>
      <c r="Z27" s="35"/>
      <c r="AA27" s="35"/>
      <c r="AB27" s="37">
        <f t="shared" si="1"/>
        <v>350000</v>
      </c>
    </row>
    <row r="28" spans="1:28" x14ac:dyDescent="0.2">
      <c r="A28" s="3">
        <v>26</v>
      </c>
      <c r="B28" s="12" t="s">
        <v>17</v>
      </c>
      <c r="C28" s="41"/>
      <c r="D28" s="42"/>
      <c r="E28" s="41"/>
      <c r="F28" s="42"/>
      <c r="G28" s="41"/>
      <c r="H28" s="42"/>
      <c r="I28" s="41"/>
      <c r="J28" s="42"/>
      <c r="K28" s="41"/>
      <c r="L28" s="42"/>
      <c r="M28" s="43"/>
      <c r="N28" s="42"/>
      <c r="O28" s="44"/>
      <c r="P28" s="42"/>
      <c r="Q28" s="44"/>
      <c r="R28" s="42"/>
      <c r="S28" s="44"/>
      <c r="T28" s="45"/>
      <c r="U28" s="62"/>
      <c r="V28" s="62"/>
      <c r="W28" s="44"/>
      <c r="X28" s="42"/>
      <c r="Y28" s="15">
        <f t="shared" si="0"/>
        <v>0</v>
      </c>
      <c r="Z28" s="35"/>
      <c r="AA28" s="35"/>
      <c r="AB28" s="37">
        <f t="shared" si="1"/>
        <v>0</v>
      </c>
    </row>
    <row r="29" spans="1:28" ht="22.5" customHeight="1" x14ac:dyDescent="0.2">
      <c r="A29" s="3">
        <v>27</v>
      </c>
      <c r="B29" s="12" t="s">
        <v>18</v>
      </c>
      <c r="C29" s="41"/>
      <c r="D29" s="42"/>
      <c r="E29" s="41"/>
      <c r="F29" s="42"/>
      <c r="G29" s="41"/>
      <c r="H29" s="42"/>
      <c r="I29" s="41"/>
      <c r="J29" s="42"/>
      <c r="K29" s="41"/>
      <c r="L29" s="42"/>
      <c r="M29" s="43"/>
      <c r="N29" s="42"/>
      <c r="O29" s="44"/>
      <c r="P29" s="42"/>
      <c r="Q29" s="44"/>
      <c r="R29" s="42"/>
      <c r="S29" s="44"/>
      <c r="T29" s="45"/>
      <c r="U29" s="62"/>
      <c r="V29" s="62"/>
      <c r="W29" s="44"/>
      <c r="X29" s="42"/>
      <c r="Y29" s="15">
        <f t="shared" si="0"/>
        <v>0</v>
      </c>
      <c r="Z29" s="35"/>
      <c r="AA29" s="35"/>
      <c r="AB29" s="37">
        <f t="shared" si="1"/>
        <v>0</v>
      </c>
    </row>
    <row r="30" spans="1:28" x14ac:dyDescent="0.2">
      <c r="A30" s="3">
        <v>28</v>
      </c>
      <c r="B30" s="12" t="s">
        <v>51</v>
      </c>
      <c r="C30" s="41"/>
      <c r="D30" s="42"/>
      <c r="E30" s="41">
        <v>3</v>
      </c>
      <c r="F30" s="42">
        <v>150000</v>
      </c>
      <c r="G30" s="41"/>
      <c r="H30" s="42"/>
      <c r="I30" s="41"/>
      <c r="J30" s="42"/>
      <c r="K30" s="41"/>
      <c r="L30" s="42"/>
      <c r="M30" s="43"/>
      <c r="N30" s="42"/>
      <c r="O30" s="44"/>
      <c r="P30" s="42"/>
      <c r="Q30" s="44"/>
      <c r="R30" s="42"/>
      <c r="S30" s="44"/>
      <c r="T30" s="45"/>
      <c r="U30" s="62"/>
      <c r="V30" s="62"/>
      <c r="W30" s="44"/>
      <c r="X30" s="42"/>
      <c r="Y30" s="15">
        <f t="shared" si="0"/>
        <v>3</v>
      </c>
      <c r="Z30" s="35"/>
      <c r="AA30" s="35"/>
      <c r="AB30" s="37">
        <f t="shared" si="1"/>
        <v>150000</v>
      </c>
    </row>
    <row r="31" spans="1:28" x14ac:dyDescent="0.2">
      <c r="A31" s="3">
        <v>29</v>
      </c>
      <c r="B31" s="13" t="s">
        <v>19</v>
      </c>
      <c r="C31" s="52"/>
      <c r="D31" s="52"/>
      <c r="E31" s="52">
        <v>1</v>
      </c>
      <c r="F31" s="52">
        <v>50000</v>
      </c>
      <c r="G31" s="52"/>
      <c r="H31" s="52"/>
      <c r="I31" s="52">
        <v>4</v>
      </c>
      <c r="J31" s="52">
        <v>200000</v>
      </c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64"/>
      <c r="V31" s="64"/>
      <c r="W31" s="52"/>
      <c r="X31" s="52"/>
      <c r="Y31" s="15">
        <f t="shared" si="0"/>
        <v>5</v>
      </c>
      <c r="Z31" s="35"/>
      <c r="AA31" s="35"/>
      <c r="AB31" s="37">
        <f t="shared" si="1"/>
        <v>250000</v>
      </c>
    </row>
    <row r="32" spans="1:28" x14ac:dyDescent="0.2">
      <c r="A32" s="3">
        <v>30</v>
      </c>
      <c r="B32" s="12" t="s">
        <v>20</v>
      </c>
      <c r="C32" s="41"/>
      <c r="D32" s="42"/>
      <c r="E32" s="41"/>
      <c r="F32" s="42"/>
      <c r="G32" s="41"/>
      <c r="H32" s="42"/>
      <c r="I32" s="41"/>
      <c r="J32" s="42"/>
      <c r="K32" s="41"/>
      <c r="L32" s="42"/>
      <c r="M32" s="43"/>
      <c r="N32" s="42"/>
      <c r="O32" s="44"/>
      <c r="P32" s="42"/>
      <c r="Q32" s="44"/>
      <c r="R32" s="42"/>
      <c r="S32" s="44"/>
      <c r="T32" s="45"/>
      <c r="U32" s="62"/>
      <c r="V32" s="62"/>
      <c r="W32" s="44"/>
      <c r="X32" s="42"/>
      <c r="Y32" s="15">
        <f t="shared" si="0"/>
        <v>0</v>
      </c>
      <c r="Z32" s="35"/>
      <c r="AA32" s="35"/>
      <c r="AB32" s="37">
        <f t="shared" si="1"/>
        <v>0</v>
      </c>
    </row>
    <row r="33" spans="1:28" x14ac:dyDescent="0.2">
      <c r="A33" s="3">
        <v>31</v>
      </c>
      <c r="B33" s="12" t="s">
        <v>52</v>
      </c>
      <c r="C33" s="41"/>
      <c r="D33" s="42"/>
      <c r="E33" s="41"/>
      <c r="F33" s="42"/>
      <c r="G33" s="41"/>
      <c r="H33" s="42"/>
      <c r="I33" s="41"/>
      <c r="J33" s="42"/>
      <c r="K33" s="41"/>
      <c r="L33" s="42"/>
      <c r="M33" s="43"/>
      <c r="N33" s="42"/>
      <c r="O33" s="44"/>
      <c r="P33" s="42"/>
      <c r="Q33" s="44"/>
      <c r="R33" s="42"/>
      <c r="S33" s="44"/>
      <c r="T33" s="45"/>
      <c r="U33" s="62"/>
      <c r="V33" s="62"/>
      <c r="W33" s="44"/>
      <c r="X33" s="42"/>
      <c r="Y33" s="15">
        <f t="shared" si="0"/>
        <v>0</v>
      </c>
      <c r="Z33" s="35"/>
      <c r="AA33" s="35"/>
      <c r="AB33" s="37">
        <f t="shared" si="1"/>
        <v>0</v>
      </c>
    </row>
    <row r="34" spans="1:28" x14ac:dyDescent="0.2">
      <c r="A34" s="3">
        <v>32</v>
      </c>
      <c r="B34" s="12" t="s">
        <v>21</v>
      </c>
      <c r="C34" s="41"/>
      <c r="D34" s="42"/>
      <c r="E34" s="41"/>
      <c r="F34" s="42"/>
      <c r="G34" s="41"/>
      <c r="H34" s="42"/>
      <c r="I34" s="41"/>
      <c r="J34" s="42"/>
      <c r="K34" s="41"/>
      <c r="L34" s="42"/>
      <c r="M34" s="43"/>
      <c r="N34" s="42"/>
      <c r="O34" s="44"/>
      <c r="P34" s="42"/>
      <c r="Q34" s="44"/>
      <c r="R34" s="42"/>
      <c r="S34" s="44"/>
      <c r="T34" s="45"/>
      <c r="U34" s="62"/>
      <c r="V34" s="62"/>
      <c r="W34" s="44"/>
      <c r="X34" s="42"/>
      <c r="Y34" s="15">
        <f t="shared" si="0"/>
        <v>0</v>
      </c>
      <c r="Z34" s="35"/>
      <c r="AA34" s="35"/>
      <c r="AB34" s="37">
        <f t="shared" si="1"/>
        <v>0</v>
      </c>
    </row>
    <row r="35" spans="1:28" x14ac:dyDescent="0.2">
      <c r="A35" s="3">
        <v>33</v>
      </c>
      <c r="B35" s="12" t="s">
        <v>22</v>
      </c>
      <c r="C35" s="41"/>
      <c r="D35" s="42"/>
      <c r="E35" s="41"/>
      <c r="F35" s="42"/>
      <c r="G35" s="41"/>
      <c r="H35" s="42"/>
      <c r="I35" s="41"/>
      <c r="J35" s="42"/>
      <c r="K35" s="41"/>
      <c r="L35" s="42"/>
      <c r="M35" s="43"/>
      <c r="N35" s="42"/>
      <c r="O35" s="44"/>
      <c r="P35" s="42"/>
      <c r="Q35" s="44"/>
      <c r="R35" s="42"/>
      <c r="S35" s="44"/>
      <c r="T35" s="45"/>
      <c r="U35" s="62"/>
      <c r="V35" s="62"/>
      <c r="W35" s="44"/>
      <c r="X35" s="42"/>
      <c r="Y35" s="15">
        <f t="shared" si="0"/>
        <v>0</v>
      </c>
      <c r="Z35" s="35"/>
      <c r="AA35" s="35"/>
      <c r="AB35" s="37">
        <f t="shared" si="1"/>
        <v>0</v>
      </c>
    </row>
    <row r="36" spans="1:28" x14ac:dyDescent="0.2">
      <c r="A36" s="3">
        <v>34</v>
      </c>
      <c r="B36" s="12" t="s">
        <v>53</v>
      </c>
      <c r="C36" s="41"/>
      <c r="D36" s="42"/>
      <c r="E36" s="41"/>
      <c r="F36" s="42"/>
      <c r="G36" s="41"/>
      <c r="H36" s="42"/>
      <c r="I36" s="41"/>
      <c r="J36" s="42"/>
      <c r="K36" s="41"/>
      <c r="L36" s="42"/>
      <c r="M36" s="43"/>
      <c r="N36" s="42"/>
      <c r="O36" s="44"/>
      <c r="P36" s="42"/>
      <c r="Q36" s="44"/>
      <c r="R36" s="42"/>
      <c r="S36" s="44"/>
      <c r="T36" s="45"/>
      <c r="U36" s="62"/>
      <c r="V36" s="62"/>
      <c r="W36" s="44"/>
      <c r="X36" s="42"/>
      <c r="Y36" s="15">
        <f t="shared" si="0"/>
        <v>0</v>
      </c>
      <c r="Z36" s="35"/>
      <c r="AA36" s="35"/>
      <c r="AB36" s="37">
        <f t="shared" si="1"/>
        <v>0</v>
      </c>
    </row>
    <row r="37" spans="1:28" x14ac:dyDescent="0.2">
      <c r="A37" s="3">
        <v>35</v>
      </c>
      <c r="B37" s="12" t="s">
        <v>54</v>
      </c>
      <c r="C37" s="41"/>
      <c r="D37" s="42"/>
      <c r="E37" s="41"/>
      <c r="F37" s="42"/>
      <c r="G37" s="41"/>
      <c r="H37" s="42"/>
      <c r="I37" s="41"/>
      <c r="J37" s="42"/>
      <c r="K37" s="41"/>
      <c r="L37" s="42"/>
      <c r="M37" s="43"/>
      <c r="N37" s="42"/>
      <c r="O37" s="44"/>
      <c r="P37" s="42"/>
      <c r="Q37" s="44"/>
      <c r="R37" s="42"/>
      <c r="S37" s="44"/>
      <c r="T37" s="45"/>
      <c r="U37" s="62"/>
      <c r="V37" s="62"/>
      <c r="W37" s="44"/>
      <c r="X37" s="42"/>
      <c r="Y37" s="15">
        <f t="shared" si="0"/>
        <v>0</v>
      </c>
      <c r="Z37" s="35"/>
      <c r="AA37" s="35"/>
      <c r="AB37" s="37">
        <f t="shared" si="1"/>
        <v>0</v>
      </c>
    </row>
    <row r="38" spans="1:28" x14ac:dyDescent="0.2">
      <c r="A38" s="3">
        <v>36</v>
      </c>
      <c r="B38" s="12" t="s">
        <v>55</v>
      </c>
      <c r="C38" s="41"/>
      <c r="D38" s="42"/>
      <c r="E38" s="41"/>
      <c r="F38" s="42"/>
      <c r="G38" s="41"/>
      <c r="H38" s="42"/>
      <c r="I38" s="41"/>
      <c r="J38" s="42"/>
      <c r="K38" s="41"/>
      <c r="L38" s="42"/>
      <c r="M38" s="43"/>
      <c r="N38" s="42"/>
      <c r="O38" s="44"/>
      <c r="P38" s="42"/>
      <c r="Q38" s="44"/>
      <c r="R38" s="42"/>
      <c r="S38" s="44"/>
      <c r="T38" s="45"/>
      <c r="U38" s="62"/>
      <c r="V38" s="62"/>
      <c r="W38" s="44"/>
      <c r="X38" s="42"/>
      <c r="Y38" s="15">
        <f t="shared" si="0"/>
        <v>0</v>
      </c>
      <c r="Z38" s="35"/>
      <c r="AA38" s="35"/>
      <c r="AB38" s="37">
        <f t="shared" si="1"/>
        <v>0</v>
      </c>
    </row>
    <row r="39" spans="1:28" x14ac:dyDescent="0.2">
      <c r="A39" s="3">
        <v>37</v>
      </c>
      <c r="B39" s="12" t="s">
        <v>56</v>
      </c>
      <c r="C39" s="41"/>
      <c r="D39" s="42"/>
      <c r="E39" s="41"/>
      <c r="F39" s="42"/>
      <c r="G39" s="41"/>
      <c r="H39" s="42"/>
      <c r="I39" s="41"/>
      <c r="J39" s="42"/>
      <c r="K39" s="41"/>
      <c r="L39" s="42"/>
      <c r="M39" s="43"/>
      <c r="N39" s="42"/>
      <c r="O39" s="44"/>
      <c r="P39" s="42"/>
      <c r="Q39" s="44"/>
      <c r="R39" s="42"/>
      <c r="S39" s="44"/>
      <c r="T39" s="45"/>
      <c r="U39" s="62"/>
      <c r="V39" s="62"/>
      <c r="W39" s="44"/>
      <c r="X39" s="42"/>
      <c r="Y39" s="15">
        <f t="shared" si="0"/>
        <v>0</v>
      </c>
      <c r="Z39" s="35"/>
      <c r="AA39" s="35"/>
      <c r="AB39" s="37">
        <f t="shared" si="1"/>
        <v>0</v>
      </c>
    </row>
    <row r="40" spans="1:28" x14ac:dyDescent="0.2">
      <c r="A40" s="3">
        <v>38</v>
      </c>
      <c r="B40" s="12" t="s">
        <v>23</v>
      </c>
      <c r="C40" s="41"/>
      <c r="D40" s="42"/>
      <c r="E40" s="41"/>
      <c r="F40" s="42"/>
      <c r="G40" s="41"/>
      <c r="H40" s="42"/>
      <c r="I40" s="41"/>
      <c r="J40" s="42"/>
      <c r="K40" s="41"/>
      <c r="L40" s="42"/>
      <c r="M40" s="43"/>
      <c r="N40" s="42"/>
      <c r="O40" s="44"/>
      <c r="P40" s="42"/>
      <c r="Q40" s="44"/>
      <c r="R40" s="42"/>
      <c r="S40" s="44"/>
      <c r="T40" s="45"/>
      <c r="U40" s="62"/>
      <c r="V40" s="62"/>
      <c r="W40" s="44"/>
      <c r="X40" s="42"/>
      <c r="Y40" s="15">
        <f t="shared" si="0"/>
        <v>0</v>
      </c>
      <c r="Z40" s="35"/>
      <c r="AA40" s="35"/>
      <c r="AB40" s="37">
        <f t="shared" si="1"/>
        <v>0</v>
      </c>
    </row>
    <row r="41" spans="1:28" x14ac:dyDescent="0.2">
      <c r="A41" s="3">
        <v>39</v>
      </c>
      <c r="B41" s="12" t="s">
        <v>24</v>
      </c>
      <c r="C41" s="41"/>
      <c r="D41" s="42"/>
      <c r="E41" s="41"/>
      <c r="F41" s="42"/>
      <c r="G41" s="41"/>
      <c r="H41" s="42"/>
      <c r="I41" s="41"/>
      <c r="J41" s="42"/>
      <c r="K41" s="41"/>
      <c r="L41" s="42"/>
      <c r="M41" s="43"/>
      <c r="N41" s="42"/>
      <c r="O41" s="44"/>
      <c r="P41" s="42"/>
      <c r="Q41" s="44"/>
      <c r="R41" s="42"/>
      <c r="S41" s="44"/>
      <c r="T41" s="45"/>
      <c r="U41" s="62"/>
      <c r="V41" s="62"/>
      <c r="W41" s="44"/>
      <c r="X41" s="42"/>
      <c r="Y41" s="15">
        <f t="shared" si="0"/>
        <v>0</v>
      </c>
      <c r="Z41" s="35"/>
      <c r="AA41" s="35"/>
      <c r="AB41" s="37">
        <f t="shared" si="1"/>
        <v>0</v>
      </c>
    </row>
    <row r="42" spans="1:28" x14ac:dyDescent="0.2">
      <c r="A42" s="3">
        <v>40</v>
      </c>
      <c r="B42" s="11" t="s">
        <v>25</v>
      </c>
      <c r="C42" s="41"/>
      <c r="D42" s="42"/>
      <c r="E42" s="41"/>
      <c r="F42" s="42"/>
      <c r="G42" s="41"/>
      <c r="H42" s="42"/>
      <c r="I42" s="41"/>
      <c r="J42" s="42"/>
      <c r="K42" s="41"/>
      <c r="L42" s="42"/>
      <c r="M42" s="43"/>
      <c r="N42" s="42"/>
      <c r="O42" s="44"/>
      <c r="P42" s="42"/>
      <c r="Q42" s="44"/>
      <c r="R42" s="42"/>
      <c r="S42" s="44"/>
      <c r="T42" s="45"/>
      <c r="U42" s="62"/>
      <c r="V42" s="62"/>
      <c r="W42" s="44"/>
      <c r="X42" s="42"/>
      <c r="Y42" s="15">
        <f t="shared" si="0"/>
        <v>0</v>
      </c>
      <c r="Z42" s="35"/>
      <c r="AA42" s="35"/>
      <c r="AB42" s="37">
        <f t="shared" si="1"/>
        <v>0</v>
      </c>
    </row>
    <row r="43" spans="1:28" x14ac:dyDescent="0.2">
      <c r="A43" s="3">
        <v>41</v>
      </c>
      <c r="B43" s="16" t="s">
        <v>57</v>
      </c>
      <c r="C43" s="53"/>
      <c r="D43" s="54"/>
      <c r="E43" s="53"/>
      <c r="F43" s="54"/>
      <c r="G43" s="53"/>
      <c r="H43" s="54"/>
      <c r="I43" s="53"/>
      <c r="J43" s="54"/>
      <c r="K43" s="53"/>
      <c r="L43" s="54"/>
      <c r="M43" s="55"/>
      <c r="N43" s="54"/>
      <c r="O43" s="56"/>
      <c r="P43" s="54"/>
      <c r="Q43" s="56"/>
      <c r="R43" s="54"/>
      <c r="S43" s="56"/>
      <c r="T43" s="57"/>
      <c r="U43" s="65"/>
      <c r="V43" s="65"/>
      <c r="W43" s="56"/>
      <c r="X43" s="54"/>
      <c r="Y43" s="15">
        <f t="shared" si="0"/>
        <v>0</v>
      </c>
      <c r="Z43" s="35"/>
      <c r="AA43" s="35"/>
      <c r="AB43" s="37">
        <f t="shared" si="1"/>
        <v>0</v>
      </c>
    </row>
    <row r="44" spans="1:28" x14ac:dyDescent="0.2">
      <c r="A44" s="3">
        <v>42</v>
      </c>
      <c r="B44" s="11" t="s">
        <v>26</v>
      </c>
      <c r="C44" s="41"/>
      <c r="D44" s="42"/>
      <c r="E44" s="41"/>
      <c r="F44" s="42"/>
      <c r="G44" s="41"/>
      <c r="H44" s="42"/>
      <c r="I44" s="41"/>
      <c r="J44" s="42"/>
      <c r="K44" s="41"/>
      <c r="L44" s="42"/>
      <c r="M44" s="43"/>
      <c r="N44" s="42"/>
      <c r="O44" s="44"/>
      <c r="P44" s="42"/>
      <c r="Q44" s="44"/>
      <c r="R44" s="42"/>
      <c r="S44" s="44"/>
      <c r="T44" s="45"/>
      <c r="U44" s="62"/>
      <c r="V44" s="62"/>
      <c r="W44" s="44"/>
      <c r="X44" s="42"/>
      <c r="Y44" s="15">
        <f t="shared" si="0"/>
        <v>0</v>
      </c>
      <c r="Z44" s="35"/>
      <c r="AA44" s="35"/>
      <c r="AB44" s="37">
        <f t="shared" si="1"/>
        <v>0</v>
      </c>
    </row>
    <row r="45" spans="1:28" x14ac:dyDescent="0.2">
      <c r="A45" s="3">
        <v>43</v>
      </c>
      <c r="B45" s="11" t="s">
        <v>27</v>
      </c>
      <c r="C45" s="41"/>
      <c r="D45" s="42"/>
      <c r="E45" s="41"/>
      <c r="F45" s="42"/>
      <c r="G45" s="41"/>
      <c r="H45" s="42"/>
      <c r="I45" s="41"/>
      <c r="J45" s="42"/>
      <c r="K45" s="41"/>
      <c r="L45" s="42"/>
      <c r="M45" s="43"/>
      <c r="N45" s="42"/>
      <c r="O45" s="44"/>
      <c r="P45" s="42"/>
      <c r="Q45" s="44"/>
      <c r="R45" s="42"/>
      <c r="S45" s="44"/>
      <c r="T45" s="45"/>
      <c r="U45" s="62"/>
      <c r="V45" s="62"/>
      <c r="W45" s="44"/>
      <c r="X45" s="42"/>
      <c r="Y45" s="15">
        <f t="shared" si="0"/>
        <v>0</v>
      </c>
      <c r="Z45" s="35"/>
      <c r="AA45" s="35"/>
      <c r="AB45" s="37">
        <f t="shared" si="1"/>
        <v>0</v>
      </c>
    </row>
    <row r="46" spans="1:28" x14ac:dyDescent="0.2">
      <c r="A46" s="3">
        <v>44</v>
      </c>
      <c r="B46" s="11" t="s">
        <v>28</v>
      </c>
      <c r="C46" s="41"/>
      <c r="D46" s="42"/>
      <c r="E46" s="41"/>
      <c r="F46" s="42"/>
      <c r="G46" s="41"/>
      <c r="H46" s="42"/>
      <c r="I46" s="41"/>
      <c r="J46" s="42"/>
      <c r="K46" s="41"/>
      <c r="L46" s="42"/>
      <c r="M46" s="43"/>
      <c r="N46" s="42"/>
      <c r="O46" s="44"/>
      <c r="P46" s="42"/>
      <c r="Q46" s="44"/>
      <c r="R46" s="42"/>
      <c r="S46" s="44"/>
      <c r="T46" s="45"/>
      <c r="U46" s="62"/>
      <c r="V46" s="62"/>
      <c r="W46" s="44"/>
      <c r="X46" s="42"/>
      <c r="Y46" s="15">
        <f t="shared" si="0"/>
        <v>0</v>
      </c>
      <c r="Z46" s="35"/>
      <c r="AA46" s="35"/>
      <c r="AB46" s="37">
        <f t="shared" si="1"/>
        <v>0</v>
      </c>
    </row>
    <row r="47" spans="1:28" x14ac:dyDescent="0.2">
      <c r="A47" s="3">
        <v>45</v>
      </c>
      <c r="B47" s="16" t="s">
        <v>29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66"/>
      <c r="V47" s="66"/>
      <c r="W47" s="54"/>
      <c r="X47" s="54"/>
      <c r="Y47" s="15">
        <f t="shared" si="0"/>
        <v>0</v>
      </c>
      <c r="Z47" s="35"/>
      <c r="AA47" s="35"/>
      <c r="AB47" s="37">
        <f t="shared" si="1"/>
        <v>0</v>
      </c>
    </row>
    <row r="48" spans="1:28" x14ac:dyDescent="0.2">
      <c r="A48" s="3">
        <v>46</v>
      </c>
      <c r="B48" s="11" t="s">
        <v>58</v>
      </c>
      <c r="C48" s="41"/>
      <c r="D48" s="42"/>
      <c r="E48" s="41"/>
      <c r="F48" s="42"/>
      <c r="G48" s="41"/>
      <c r="H48" s="42"/>
      <c r="I48" s="41"/>
      <c r="J48" s="42"/>
      <c r="K48" s="41"/>
      <c r="L48" s="42"/>
      <c r="M48" s="43"/>
      <c r="N48" s="42"/>
      <c r="O48" s="44"/>
      <c r="P48" s="42"/>
      <c r="Q48" s="44"/>
      <c r="R48" s="42"/>
      <c r="S48" s="44"/>
      <c r="T48" s="45"/>
      <c r="U48" s="62"/>
      <c r="V48" s="62"/>
      <c r="W48" s="44"/>
      <c r="X48" s="42"/>
      <c r="Y48" s="15">
        <f t="shared" si="0"/>
        <v>0</v>
      </c>
      <c r="Z48" s="35"/>
      <c r="AA48" s="35"/>
      <c r="AB48" s="37">
        <f t="shared" si="1"/>
        <v>0</v>
      </c>
    </row>
    <row r="49" spans="1:28" x14ac:dyDescent="0.2">
      <c r="A49" s="3">
        <v>47</v>
      </c>
      <c r="B49" s="11" t="s">
        <v>75</v>
      </c>
      <c r="C49" s="41"/>
      <c r="D49" s="42"/>
      <c r="E49" s="41"/>
      <c r="F49" s="42"/>
      <c r="G49" s="41"/>
      <c r="H49" s="42"/>
      <c r="I49" s="41"/>
      <c r="J49" s="42"/>
      <c r="K49" s="41"/>
      <c r="L49" s="42"/>
      <c r="M49" s="43"/>
      <c r="N49" s="42"/>
      <c r="O49" s="44"/>
      <c r="P49" s="42"/>
      <c r="Q49" s="44"/>
      <c r="R49" s="42"/>
      <c r="S49" s="44"/>
      <c r="T49" s="45"/>
      <c r="U49" s="62"/>
      <c r="V49" s="62"/>
      <c r="W49" s="44"/>
      <c r="X49" s="42"/>
      <c r="Y49" s="15">
        <f t="shared" si="0"/>
        <v>0</v>
      </c>
      <c r="Z49" s="35"/>
      <c r="AA49" s="35"/>
      <c r="AB49" s="37">
        <f t="shared" si="1"/>
        <v>0</v>
      </c>
    </row>
    <row r="50" spans="1:28" x14ac:dyDescent="0.2">
      <c r="A50" s="3">
        <v>48</v>
      </c>
      <c r="B50" s="16" t="s">
        <v>59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>
        <v>1</v>
      </c>
      <c r="R50" s="54">
        <v>50000</v>
      </c>
      <c r="S50" s="54"/>
      <c r="T50" s="54"/>
      <c r="U50" s="66"/>
      <c r="V50" s="66"/>
      <c r="W50" s="54"/>
      <c r="X50" s="54"/>
      <c r="Y50" s="15">
        <f t="shared" si="0"/>
        <v>1</v>
      </c>
      <c r="Z50" s="35"/>
      <c r="AA50" s="35"/>
      <c r="AB50" s="37">
        <f t="shared" si="1"/>
        <v>50000</v>
      </c>
    </row>
    <row r="51" spans="1:28" x14ac:dyDescent="0.2">
      <c r="A51" s="3">
        <v>49</v>
      </c>
      <c r="B51" s="11" t="s">
        <v>60</v>
      </c>
      <c r="C51" s="41"/>
      <c r="D51" s="42"/>
      <c r="E51" s="41"/>
      <c r="F51" s="42"/>
      <c r="G51" s="41"/>
      <c r="H51" s="42"/>
      <c r="I51" s="41"/>
      <c r="J51" s="42"/>
      <c r="K51" s="41"/>
      <c r="L51" s="42"/>
      <c r="M51" s="43"/>
      <c r="N51" s="42"/>
      <c r="O51" s="44"/>
      <c r="P51" s="42"/>
      <c r="Q51" s="44"/>
      <c r="R51" s="42"/>
      <c r="S51" s="44"/>
      <c r="T51" s="45"/>
      <c r="U51" s="62"/>
      <c r="V51" s="62"/>
      <c r="W51" s="44"/>
      <c r="X51" s="42"/>
      <c r="Y51" s="15">
        <f t="shared" si="0"/>
        <v>0</v>
      </c>
      <c r="Z51" s="35"/>
      <c r="AA51" s="35"/>
      <c r="AB51" s="37">
        <f t="shared" si="1"/>
        <v>0</v>
      </c>
    </row>
    <row r="52" spans="1:28" x14ac:dyDescent="0.2">
      <c r="A52" s="3">
        <v>50</v>
      </c>
      <c r="B52" s="11" t="s">
        <v>61</v>
      </c>
      <c r="C52" s="41"/>
      <c r="D52" s="42"/>
      <c r="E52" s="41"/>
      <c r="F52" s="42"/>
      <c r="G52" s="41"/>
      <c r="H52" s="42"/>
      <c r="I52" s="41"/>
      <c r="J52" s="42"/>
      <c r="K52" s="41"/>
      <c r="L52" s="42"/>
      <c r="M52" s="43"/>
      <c r="N52" s="42"/>
      <c r="O52" s="44"/>
      <c r="P52" s="42"/>
      <c r="Q52" s="44"/>
      <c r="R52" s="42"/>
      <c r="S52" s="44"/>
      <c r="T52" s="45"/>
      <c r="U52" s="62"/>
      <c r="V52" s="62"/>
      <c r="W52" s="44"/>
      <c r="X52" s="42"/>
      <c r="Y52" s="15">
        <f t="shared" si="0"/>
        <v>0</v>
      </c>
      <c r="Z52" s="35"/>
      <c r="AA52" s="35"/>
      <c r="AB52" s="37">
        <f t="shared" si="1"/>
        <v>0</v>
      </c>
    </row>
    <row r="53" spans="1:28" x14ac:dyDescent="0.2">
      <c r="A53" s="3">
        <v>51</v>
      </c>
      <c r="B53" s="11" t="s">
        <v>62</v>
      </c>
      <c r="C53" s="41"/>
      <c r="D53" s="42"/>
      <c r="E53" s="41"/>
      <c r="F53" s="42"/>
      <c r="G53" s="41"/>
      <c r="H53" s="42"/>
      <c r="I53" s="41"/>
      <c r="J53" s="42"/>
      <c r="K53" s="41">
        <v>3</v>
      </c>
      <c r="L53" s="42">
        <v>300000</v>
      </c>
      <c r="M53" s="43"/>
      <c r="N53" s="42"/>
      <c r="O53" s="44"/>
      <c r="P53" s="42"/>
      <c r="Q53" s="44"/>
      <c r="R53" s="42"/>
      <c r="S53" s="44"/>
      <c r="T53" s="45"/>
      <c r="U53" s="62"/>
      <c r="V53" s="62"/>
      <c r="W53" s="44"/>
      <c r="X53" s="42"/>
      <c r="Y53" s="15">
        <f t="shared" si="0"/>
        <v>3</v>
      </c>
      <c r="Z53" s="35"/>
      <c r="AA53" s="35"/>
      <c r="AB53" s="37">
        <f t="shared" si="1"/>
        <v>300000</v>
      </c>
    </row>
    <row r="54" spans="1:28" x14ac:dyDescent="0.2">
      <c r="A54" s="3">
        <v>52</v>
      </c>
      <c r="B54" s="11" t="s">
        <v>30</v>
      </c>
      <c r="C54" s="41"/>
      <c r="D54" s="42"/>
      <c r="E54" s="41"/>
      <c r="F54" s="42"/>
      <c r="G54" s="41"/>
      <c r="H54" s="42"/>
      <c r="I54" s="41"/>
      <c r="J54" s="42"/>
      <c r="K54" s="41"/>
      <c r="L54" s="42"/>
      <c r="M54" s="43"/>
      <c r="N54" s="42"/>
      <c r="O54" s="44"/>
      <c r="P54" s="42"/>
      <c r="Q54" s="44"/>
      <c r="R54" s="42"/>
      <c r="S54" s="44"/>
      <c r="T54" s="45"/>
      <c r="U54" s="62"/>
      <c r="V54" s="62"/>
      <c r="W54" s="44"/>
      <c r="X54" s="42"/>
      <c r="Y54" s="15">
        <f t="shared" si="0"/>
        <v>0</v>
      </c>
      <c r="Z54" s="35"/>
      <c r="AA54" s="35"/>
      <c r="AB54" s="37">
        <f t="shared" si="1"/>
        <v>0</v>
      </c>
    </row>
    <row r="55" spans="1:28" x14ac:dyDescent="0.2">
      <c r="A55" s="3">
        <v>53</v>
      </c>
      <c r="B55" s="11" t="s">
        <v>31</v>
      </c>
      <c r="C55" s="41"/>
      <c r="D55" s="42"/>
      <c r="E55" s="41"/>
      <c r="F55" s="42"/>
      <c r="G55" s="41"/>
      <c r="H55" s="42"/>
      <c r="I55" s="41"/>
      <c r="J55" s="42"/>
      <c r="K55" s="41"/>
      <c r="L55" s="42"/>
      <c r="M55" s="43"/>
      <c r="N55" s="42"/>
      <c r="O55" s="44"/>
      <c r="P55" s="42"/>
      <c r="Q55" s="44"/>
      <c r="R55" s="42"/>
      <c r="S55" s="44"/>
      <c r="T55" s="45"/>
      <c r="U55" s="62"/>
      <c r="V55" s="62"/>
      <c r="W55" s="44"/>
      <c r="X55" s="42"/>
      <c r="Y55" s="15">
        <f t="shared" si="0"/>
        <v>0</v>
      </c>
      <c r="Z55" s="35"/>
      <c r="AA55" s="35"/>
      <c r="AB55" s="37">
        <f t="shared" si="1"/>
        <v>0</v>
      </c>
    </row>
    <row r="56" spans="1:28" x14ac:dyDescent="0.2">
      <c r="A56" s="3">
        <v>54</v>
      </c>
      <c r="B56" s="11" t="s">
        <v>63</v>
      </c>
      <c r="C56" s="41"/>
      <c r="D56" s="42"/>
      <c r="E56" s="41"/>
      <c r="F56" s="42"/>
      <c r="G56" s="41"/>
      <c r="H56" s="42"/>
      <c r="I56" s="41"/>
      <c r="J56" s="42"/>
      <c r="K56" s="41"/>
      <c r="L56" s="42"/>
      <c r="M56" s="43"/>
      <c r="N56" s="42"/>
      <c r="O56" s="44"/>
      <c r="P56" s="42"/>
      <c r="Q56" s="44"/>
      <c r="R56" s="42"/>
      <c r="S56" s="44"/>
      <c r="T56" s="45"/>
      <c r="U56" s="62"/>
      <c r="V56" s="62"/>
      <c r="W56" s="44"/>
      <c r="X56" s="42"/>
      <c r="Y56" s="15">
        <f t="shared" si="0"/>
        <v>0</v>
      </c>
      <c r="Z56" s="35"/>
      <c r="AA56" s="35"/>
      <c r="AB56" s="37">
        <f t="shared" si="1"/>
        <v>0</v>
      </c>
    </row>
    <row r="57" spans="1:28" x14ac:dyDescent="0.2">
      <c r="A57" s="3">
        <v>55</v>
      </c>
      <c r="B57" s="11" t="s">
        <v>64</v>
      </c>
      <c r="C57" s="41"/>
      <c r="D57" s="42"/>
      <c r="E57" s="41"/>
      <c r="F57" s="42"/>
      <c r="G57" s="41"/>
      <c r="H57" s="42"/>
      <c r="I57" s="41"/>
      <c r="J57" s="42"/>
      <c r="K57" s="41"/>
      <c r="L57" s="42"/>
      <c r="M57" s="43"/>
      <c r="N57" s="42"/>
      <c r="O57" s="44"/>
      <c r="P57" s="42"/>
      <c r="Q57" s="44"/>
      <c r="R57" s="42"/>
      <c r="S57" s="44"/>
      <c r="T57" s="45"/>
      <c r="U57" s="62"/>
      <c r="V57" s="62"/>
      <c r="W57" s="44"/>
      <c r="X57" s="42"/>
      <c r="Y57" s="15">
        <f t="shared" si="0"/>
        <v>0</v>
      </c>
      <c r="Z57" s="35"/>
      <c r="AA57" s="35"/>
      <c r="AB57" s="37">
        <f t="shared" si="1"/>
        <v>0</v>
      </c>
    </row>
    <row r="58" spans="1:28" x14ac:dyDescent="0.2">
      <c r="A58" s="3">
        <v>56</v>
      </c>
      <c r="B58" s="12" t="s">
        <v>32</v>
      </c>
      <c r="C58" s="41"/>
      <c r="D58" s="42"/>
      <c r="E58" s="41"/>
      <c r="F58" s="42"/>
      <c r="G58" s="41"/>
      <c r="H58" s="42"/>
      <c r="I58" s="41"/>
      <c r="J58" s="42"/>
      <c r="K58" s="41"/>
      <c r="L58" s="42"/>
      <c r="M58" s="43"/>
      <c r="N58" s="42"/>
      <c r="O58" s="44"/>
      <c r="P58" s="42"/>
      <c r="Q58" s="44"/>
      <c r="R58" s="42"/>
      <c r="S58" s="44"/>
      <c r="T58" s="45"/>
      <c r="U58" s="62"/>
      <c r="V58" s="62"/>
      <c r="W58" s="44"/>
      <c r="X58" s="42"/>
      <c r="Y58" s="15">
        <f t="shared" si="0"/>
        <v>0</v>
      </c>
      <c r="Z58" s="35"/>
      <c r="AA58" s="35"/>
      <c r="AB58" s="37">
        <f t="shared" si="1"/>
        <v>0</v>
      </c>
    </row>
    <row r="59" spans="1:28" x14ac:dyDescent="0.2">
      <c r="A59" s="3">
        <v>57</v>
      </c>
      <c r="B59" s="12" t="s">
        <v>70</v>
      </c>
      <c r="C59" s="41"/>
      <c r="D59" s="42"/>
      <c r="E59" s="41"/>
      <c r="F59" s="42"/>
      <c r="G59" s="41"/>
      <c r="H59" s="42"/>
      <c r="I59" s="41"/>
      <c r="J59" s="42"/>
      <c r="K59" s="41"/>
      <c r="L59" s="42"/>
      <c r="M59" s="43"/>
      <c r="N59" s="42"/>
      <c r="O59" s="44"/>
      <c r="P59" s="42"/>
      <c r="Q59" s="44"/>
      <c r="R59" s="42"/>
      <c r="S59" s="44"/>
      <c r="T59" s="45"/>
      <c r="U59" s="62"/>
      <c r="V59" s="62"/>
      <c r="W59" s="44"/>
      <c r="X59" s="42"/>
      <c r="Y59" s="15">
        <f t="shared" si="0"/>
        <v>0</v>
      </c>
      <c r="Z59" s="35"/>
      <c r="AA59" s="35"/>
      <c r="AB59" s="37">
        <f t="shared" si="1"/>
        <v>0</v>
      </c>
    </row>
    <row r="60" spans="1:28" x14ac:dyDescent="0.2">
      <c r="A60" s="3">
        <v>58</v>
      </c>
      <c r="B60" s="12" t="s">
        <v>71</v>
      </c>
      <c r="C60" s="41"/>
      <c r="D60" s="42"/>
      <c r="E60" s="41"/>
      <c r="F60" s="42"/>
      <c r="G60" s="41"/>
      <c r="H60" s="42"/>
      <c r="I60" s="41"/>
      <c r="J60" s="42"/>
      <c r="K60" s="41"/>
      <c r="L60" s="42"/>
      <c r="M60" s="43"/>
      <c r="N60" s="42"/>
      <c r="O60" s="44"/>
      <c r="P60" s="42"/>
      <c r="Q60" s="44"/>
      <c r="R60" s="42"/>
      <c r="S60" s="44"/>
      <c r="T60" s="45"/>
      <c r="U60" s="62"/>
      <c r="V60" s="62"/>
      <c r="W60" s="44"/>
      <c r="X60" s="42"/>
      <c r="Y60" s="15">
        <f t="shared" si="0"/>
        <v>0</v>
      </c>
      <c r="Z60" s="35"/>
      <c r="AA60" s="35"/>
      <c r="AB60" s="37">
        <f t="shared" si="1"/>
        <v>0</v>
      </c>
    </row>
    <row r="61" spans="1:28" x14ac:dyDescent="0.2">
      <c r="A61" s="3">
        <v>59</v>
      </c>
      <c r="B61" s="12" t="s">
        <v>73</v>
      </c>
      <c r="C61" s="41"/>
      <c r="D61" s="42"/>
      <c r="E61" s="41"/>
      <c r="F61" s="42"/>
      <c r="G61" s="41"/>
      <c r="H61" s="42"/>
      <c r="I61" s="41"/>
      <c r="J61" s="42"/>
      <c r="K61" s="41"/>
      <c r="L61" s="42"/>
      <c r="M61" s="43"/>
      <c r="N61" s="42"/>
      <c r="O61" s="44"/>
      <c r="P61" s="42"/>
      <c r="Q61" s="44"/>
      <c r="R61" s="42"/>
      <c r="S61" s="44"/>
      <c r="T61" s="45"/>
      <c r="U61" s="62"/>
      <c r="V61" s="62"/>
      <c r="W61" s="44"/>
      <c r="X61" s="42"/>
      <c r="Y61" s="15">
        <f t="shared" si="0"/>
        <v>0</v>
      </c>
      <c r="Z61" s="35"/>
      <c r="AA61" s="35"/>
      <c r="AB61" s="37">
        <f t="shared" si="1"/>
        <v>0</v>
      </c>
    </row>
    <row r="62" spans="1:28" ht="27.75" customHeight="1" x14ac:dyDescent="0.15">
      <c r="B62" s="10" t="s">
        <v>72</v>
      </c>
      <c r="C62" s="29">
        <f t="shared" ref="C62:M62" si="2">SUM(C3:C61)</f>
        <v>150</v>
      </c>
      <c r="D62" s="40">
        <f t="shared" si="2"/>
        <v>7500000</v>
      </c>
      <c r="E62" s="29">
        <f t="shared" si="2"/>
        <v>130</v>
      </c>
      <c r="F62" s="40">
        <f>SUM(F3:F61)</f>
        <v>6500000</v>
      </c>
      <c r="G62" s="29">
        <f t="shared" si="2"/>
        <v>23</v>
      </c>
      <c r="H62" s="40">
        <f t="shared" si="2"/>
        <v>1150000</v>
      </c>
      <c r="I62" s="29">
        <f t="shared" si="2"/>
        <v>10</v>
      </c>
      <c r="J62" s="40">
        <f t="shared" si="2"/>
        <v>500000</v>
      </c>
      <c r="K62" s="29">
        <f t="shared" si="2"/>
        <v>30</v>
      </c>
      <c r="L62" s="40">
        <f t="shared" si="2"/>
        <v>1650000</v>
      </c>
      <c r="M62" s="29">
        <f t="shared" si="2"/>
        <v>9</v>
      </c>
      <c r="N62" s="40">
        <f t="shared" ref="N62:W62" si="3">SUM(N3:N61)</f>
        <v>450000</v>
      </c>
      <c r="O62" s="29">
        <f t="shared" si="3"/>
        <v>11</v>
      </c>
      <c r="P62" s="40">
        <f t="shared" si="3"/>
        <v>550000</v>
      </c>
      <c r="Q62" s="29">
        <f t="shared" si="3"/>
        <v>11</v>
      </c>
      <c r="R62" s="40">
        <f>SUM(R3:R61)</f>
        <v>550000</v>
      </c>
      <c r="S62" s="29">
        <f t="shared" si="3"/>
        <v>7</v>
      </c>
      <c r="T62" s="40">
        <f>SUM(T3:T61)</f>
        <v>350000</v>
      </c>
      <c r="U62" s="60">
        <f>SUM(U3:U61)</f>
        <v>47</v>
      </c>
      <c r="V62" s="40">
        <f>SUM(V3:V61)</f>
        <v>2350000</v>
      </c>
      <c r="W62" s="29">
        <f t="shared" si="3"/>
        <v>15</v>
      </c>
      <c r="X62" s="40">
        <f>SUM(X3:X61)</f>
        <v>1400000</v>
      </c>
      <c r="Y62" s="38">
        <f>SUM(Y3:Y61)</f>
        <v>443</v>
      </c>
      <c r="Z62" s="39">
        <f>SUM(Z3:Z61)</f>
        <v>0</v>
      </c>
      <c r="AA62" s="39">
        <f>SUM(AA3:AA61)</f>
        <v>0</v>
      </c>
      <c r="AB62" s="40">
        <f>SUM(AB3:AB61)</f>
        <v>22950000</v>
      </c>
    </row>
  </sheetData>
  <mergeCells count="28">
    <mergeCell ref="I1:I2"/>
    <mergeCell ref="H1:H2"/>
    <mergeCell ref="AB1:AB2"/>
    <mergeCell ref="S1:S2"/>
    <mergeCell ref="T1:T2"/>
    <mergeCell ref="Y1:Y2"/>
    <mergeCell ref="Z1:Z2"/>
    <mergeCell ref="AA1:AA2"/>
    <mergeCell ref="W1:W2"/>
    <mergeCell ref="X1:X2"/>
    <mergeCell ref="U1:U2"/>
    <mergeCell ref="V1:V2"/>
    <mergeCell ref="A1:A2"/>
    <mergeCell ref="R1:R2"/>
    <mergeCell ref="M1:M2"/>
    <mergeCell ref="N1:N2"/>
    <mergeCell ref="O1:O2"/>
    <mergeCell ref="P1:P2"/>
    <mergeCell ref="Q1:Q2"/>
    <mergeCell ref="B1:B2"/>
    <mergeCell ref="D1:D2"/>
    <mergeCell ref="C1:C2"/>
    <mergeCell ref="G1:G2"/>
    <mergeCell ref="F1:F2"/>
    <mergeCell ref="E1:E2"/>
    <mergeCell ref="L1:L2"/>
    <mergeCell ref="K1:K2"/>
    <mergeCell ref="J1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1"/>
  <sheetViews>
    <sheetView showZeros="0" rightToLeft="1" tabSelected="1" workbookViewId="0">
      <selection activeCell="BR36" sqref="BR36"/>
    </sheetView>
  </sheetViews>
  <sheetFormatPr defaultRowHeight="18" customHeight="1" x14ac:dyDescent="0.15"/>
  <cols>
    <col min="2" max="2" width="5.0234375" customWidth="1"/>
    <col min="3" max="3" width="72.94140625" style="8" customWidth="1"/>
    <col min="4" max="4" width="12.2578125" customWidth="1"/>
    <col min="5" max="5" width="6.49609375" customWidth="1"/>
    <col min="6" max="6" width="7.59765625" bestFit="1" customWidth="1"/>
    <col min="7" max="7" width="13.1171875" customWidth="1"/>
  </cols>
  <sheetData>
    <row r="1" spans="1:7" ht="18" customHeight="1" x14ac:dyDescent="0.15">
      <c r="A1" s="6"/>
      <c r="B1" s="6"/>
      <c r="C1" s="7"/>
      <c r="D1" s="6"/>
      <c r="E1" s="6"/>
      <c r="F1" s="6"/>
      <c r="G1" s="6"/>
    </row>
    <row r="2" spans="1:7" ht="18" hidden="1" customHeight="1" x14ac:dyDescent="0.15">
      <c r="A2" s="6"/>
      <c r="B2" s="6"/>
      <c r="C2" s="7"/>
      <c r="D2" s="6"/>
      <c r="E2" s="6"/>
      <c r="F2" s="6"/>
      <c r="G2" s="6"/>
    </row>
    <row r="3" spans="1:7" ht="30" customHeight="1" x14ac:dyDescent="0.15">
      <c r="B3" s="18"/>
      <c r="C3" s="19" t="s">
        <v>68</v>
      </c>
      <c r="D3" s="20">
        <f ca="1">E3</f>
        <v>46116</v>
      </c>
      <c r="E3" s="81">
        <f ca="1">TODAY()</f>
        <v>46116</v>
      </c>
      <c r="F3" s="81"/>
      <c r="G3" s="26"/>
    </row>
    <row r="4" spans="1:7" s="4" customFormat="1" ht="26.25" customHeight="1" x14ac:dyDescent="0.15">
      <c r="B4" s="82" t="s">
        <v>41</v>
      </c>
      <c r="C4" s="84" t="s">
        <v>67</v>
      </c>
      <c r="D4" s="86" t="s">
        <v>66</v>
      </c>
      <c r="E4" s="86"/>
      <c r="F4" s="86"/>
      <c r="G4" s="87" t="s">
        <v>89</v>
      </c>
    </row>
    <row r="5" spans="1:7" ht="28.15" customHeight="1" x14ac:dyDescent="0.15">
      <c r="B5" s="83"/>
      <c r="C5" s="85"/>
      <c r="D5" s="30" t="s">
        <v>90</v>
      </c>
      <c r="E5" s="30" t="s">
        <v>91</v>
      </c>
      <c r="F5" s="30" t="s">
        <v>92</v>
      </c>
      <c r="G5" s="88"/>
    </row>
    <row r="6" spans="1:7" ht="18" customHeight="1" x14ac:dyDescent="0.15">
      <c r="B6" s="17">
        <f>'59مخالفة'!A3</f>
        <v>1</v>
      </c>
      <c r="C6" s="24" t="str">
        <f>'59مخالفة'!B3</f>
        <v>عدم الامتثال للإشارة الضوئية او اشارة رجل  المرور التنظيمية</v>
      </c>
      <c r="D6" s="31">
        <f>SUM('59مخالفة'!Y3)</f>
        <v>0</v>
      </c>
      <c r="E6" s="33">
        <f>'59مخالفة'!Z3</f>
        <v>0</v>
      </c>
      <c r="F6" s="34">
        <f>'59مخالفة'!AA3</f>
        <v>0</v>
      </c>
      <c r="G6" s="32">
        <f>SUM('59مخالفة'!AB3)</f>
        <v>0</v>
      </c>
    </row>
    <row r="7" spans="1:7" ht="18" customHeight="1" x14ac:dyDescent="0.15">
      <c r="B7" s="17">
        <f>'59مخالفة'!A4</f>
        <v>2</v>
      </c>
      <c r="C7" s="24" t="str">
        <f>'59مخالفة'!B4</f>
        <v>قيادة مركبة بإهمال ورعونة</v>
      </c>
      <c r="D7" s="31">
        <f>SUM('59مخالفة'!Y4)</f>
        <v>0</v>
      </c>
      <c r="E7" s="33">
        <f>'59مخالفة'!Z4</f>
        <v>0</v>
      </c>
      <c r="F7" s="33">
        <f>'59مخالفة'!AA4</f>
        <v>0</v>
      </c>
      <c r="G7" s="32">
        <f>SUM('59مخالفة'!AB4)</f>
        <v>0</v>
      </c>
    </row>
    <row r="8" spans="1:7" ht="18" customHeight="1" x14ac:dyDescent="0.15">
      <c r="B8" s="17">
        <f>'59مخالفة'!A5</f>
        <v>3</v>
      </c>
      <c r="C8" s="24" t="str">
        <f>'59مخالفة'!B5</f>
        <v>قيادة مركبة بسرعة تزيد عن السرعة المقررة قانونا</v>
      </c>
      <c r="D8" s="31">
        <f>SUM('59مخالفة'!Y5)</f>
        <v>0</v>
      </c>
      <c r="E8" s="33">
        <f>'59مخالفة'!Z5</f>
        <v>0</v>
      </c>
      <c r="F8" s="33">
        <f>'59مخالفة'!AA5</f>
        <v>0</v>
      </c>
      <c r="G8" s="32">
        <f>SUM('59مخالفة'!AB5)</f>
        <v>0</v>
      </c>
    </row>
    <row r="9" spans="1:7" ht="18" customHeight="1" x14ac:dyDescent="0.15">
      <c r="B9" s="17">
        <f>'59مخالفة'!A6</f>
        <v>4</v>
      </c>
      <c r="C9" s="24" t="str">
        <f>'59مخالفة'!B6</f>
        <v>مخالفة قواعد السير والمرور على الطرق السريع</v>
      </c>
      <c r="D9" s="31">
        <f>SUM('59مخالفة'!Y6)</f>
        <v>0</v>
      </c>
      <c r="E9" s="33">
        <f>'59مخالفة'!Z6</f>
        <v>0</v>
      </c>
      <c r="F9" s="33">
        <f>'59مخالفة'!AA6</f>
        <v>0</v>
      </c>
      <c r="G9" s="32">
        <f>SUM('59مخالفة'!AB6)</f>
        <v>0</v>
      </c>
    </row>
    <row r="10" spans="1:7" ht="18" customHeight="1" x14ac:dyDescent="0.15">
      <c r="B10" s="17">
        <f>'59مخالفة'!A7</f>
        <v>5</v>
      </c>
      <c r="C10" s="24" t="str">
        <f>'59مخالفة'!B7</f>
        <v>السير عكس الاتجاه</v>
      </c>
      <c r="D10" s="31">
        <f>SUM('59مخالفة'!Y7)</f>
        <v>0</v>
      </c>
      <c r="E10" s="33">
        <f>'59مخالفة'!Z7</f>
        <v>0</v>
      </c>
      <c r="F10" s="33">
        <f>'59مخالفة'!AA7</f>
        <v>0</v>
      </c>
      <c r="G10" s="32">
        <f>SUM('59مخالفة'!AB7)</f>
        <v>0</v>
      </c>
    </row>
    <row r="11" spans="1:7" ht="18" customHeight="1" x14ac:dyDescent="0.15">
      <c r="B11" s="17">
        <f>'59مخالفة'!A8</f>
        <v>6</v>
      </c>
      <c r="C11" s="24" t="str">
        <f>'59مخالفة'!B8</f>
        <v>الزجاج المضلل والستائر</v>
      </c>
      <c r="D11" s="31">
        <f>SUM('59مخالفة'!Y8)</f>
        <v>0</v>
      </c>
      <c r="E11" s="33">
        <f>'59مخالفة'!Z8</f>
        <v>0</v>
      </c>
      <c r="F11" s="33">
        <f>'59مخالفة'!AA8</f>
        <v>0</v>
      </c>
      <c r="G11" s="32">
        <f>SUM('59مخالفة'!AB8)</f>
        <v>0</v>
      </c>
    </row>
    <row r="12" spans="1:7" ht="18" customHeight="1" x14ac:dyDescent="0.15">
      <c r="B12" s="17">
        <f>'59مخالفة'!A9</f>
        <v>7</v>
      </c>
      <c r="C12" s="24" t="str">
        <f>'59مخالفة'!B9</f>
        <v>عدم  تثبيت لوحات مفردة او مزدوجة (بدون لوحة تسجيل)</v>
      </c>
      <c r="D12" s="31">
        <f>SUM('59مخالفة'!Y9)</f>
        <v>0</v>
      </c>
      <c r="E12" s="33">
        <f>'59مخالفة'!Z9</f>
        <v>0</v>
      </c>
      <c r="F12" s="33">
        <f>'59مخالفة'!AA9</f>
        <v>0</v>
      </c>
      <c r="G12" s="32">
        <f>SUM('59مخالفة'!AB9)</f>
        <v>0</v>
      </c>
    </row>
    <row r="13" spans="1:7" ht="18" customHeight="1" x14ac:dyDescent="0.15">
      <c r="B13" s="17">
        <f>'59مخالفة'!A10</f>
        <v>8</v>
      </c>
      <c r="C13" s="24" t="str">
        <f>'59مخالفة'!B10</f>
        <v>عدم وضع غطاء الحمولة</v>
      </c>
      <c r="D13" s="31">
        <f>SUM('59مخالفة'!Y10)</f>
        <v>0</v>
      </c>
      <c r="E13" s="33">
        <f>'59مخالفة'!Z10</f>
        <v>0</v>
      </c>
      <c r="F13" s="33">
        <f>'59مخالفة'!AA10</f>
        <v>0</v>
      </c>
      <c r="G13" s="32">
        <f>SUM('59مخالفة'!AB10)</f>
        <v>0</v>
      </c>
    </row>
    <row r="14" spans="1:7" ht="18" customHeight="1" x14ac:dyDescent="0.15">
      <c r="B14" s="17">
        <f>'59مخالفة'!A11</f>
        <v>9</v>
      </c>
      <c r="C14" s="24" t="str">
        <f>'59مخالفة'!B11</f>
        <v>ارتفاع الحمولة</v>
      </c>
      <c r="D14" s="31">
        <f>SUM('59مخالفة'!Y11)</f>
        <v>15</v>
      </c>
      <c r="E14" s="33">
        <f>'59مخالفة'!Z11</f>
        <v>0</v>
      </c>
      <c r="F14" s="33">
        <f>'59مخالفة'!AA11</f>
        <v>0</v>
      </c>
      <c r="G14" s="32">
        <f>SUM('59مخالفة'!AB11)</f>
        <v>1400000</v>
      </c>
    </row>
    <row r="15" spans="1:7" ht="18" customHeight="1" x14ac:dyDescent="0.15">
      <c r="B15" s="17">
        <f>'59مخالفة'!A12</f>
        <v>10</v>
      </c>
      <c r="C15" s="24" t="str">
        <f>'59مخالفة'!B12</f>
        <v>عدم مراجعة البائع او المشتري لنقل ملكية المركبة خلال (30) يوم</v>
      </c>
      <c r="D15" s="31">
        <f>SUM('59مخالفة'!Y12)</f>
        <v>0</v>
      </c>
      <c r="E15" s="33">
        <f>'59مخالفة'!Z12</f>
        <v>0</v>
      </c>
      <c r="F15" s="33">
        <f>'59مخالفة'!AA12</f>
        <v>0</v>
      </c>
      <c r="G15" s="32">
        <f>SUM('59مخالفة'!AB12)</f>
        <v>0</v>
      </c>
    </row>
    <row r="16" spans="1:7" ht="18" customHeight="1" x14ac:dyDescent="0.15">
      <c r="B16" s="17">
        <f>'59مخالفة'!A13</f>
        <v>11</v>
      </c>
      <c r="C16" s="24" t="str">
        <f>'59مخالفة'!B13</f>
        <v>تنظيم اكثر من عقد واحد للمركبة  ذاتها من قبل البائع</v>
      </c>
      <c r="D16" s="31">
        <f>SUM('59مخالفة'!Y13)</f>
        <v>0</v>
      </c>
      <c r="E16" s="33">
        <f>'59مخالفة'!Z13</f>
        <v>0</v>
      </c>
      <c r="F16" s="33">
        <f>'59مخالفة'!AA13</f>
        <v>0</v>
      </c>
      <c r="G16" s="32">
        <f>SUM('59مخالفة'!AB13)</f>
        <v>0</v>
      </c>
    </row>
    <row r="17" spans="2:7" ht="18" customHeight="1" x14ac:dyDescent="0.15">
      <c r="B17" s="17">
        <f>'59مخالفة'!A14</f>
        <v>12</v>
      </c>
      <c r="C17" s="24" t="str">
        <f>'59مخالفة'!B14</f>
        <v>قيادة مركبة بإجازة سوق غير مختصة بنوع المركبة</v>
      </c>
      <c r="D17" s="31">
        <f>SUM('59مخالفة'!Y14)</f>
        <v>41</v>
      </c>
      <c r="E17" s="33">
        <f>'59مخالفة'!Z14</f>
        <v>0</v>
      </c>
      <c r="F17" s="33">
        <f>'59مخالفة'!AA14</f>
        <v>0</v>
      </c>
      <c r="G17" s="32">
        <f>SUM('59مخالفة'!AB14)</f>
        <v>2050000</v>
      </c>
    </row>
    <row r="18" spans="2:7" ht="18" customHeight="1" x14ac:dyDescent="0.15">
      <c r="B18" s="17">
        <f>'59مخالفة'!A15</f>
        <v>13</v>
      </c>
      <c r="C18" s="24" t="str">
        <f>'59مخالفة'!B15</f>
        <v>عدم (حمل اجازة السوق او السنوية ) او الامتناع عن اعطائها</v>
      </c>
      <c r="D18" s="31">
        <f>SUM('59مخالفة'!Y15)</f>
        <v>49</v>
      </c>
      <c r="E18" s="33">
        <f>'59مخالفة'!Z15</f>
        <v>0</v>
      </c>
      <c r="F18" s="33">
        <f>'59مخالفة'!AA15</f>
        <v>0</v>
      </c>
      <c r="G18" s="32">
        <f>SUM('59مخالفة'!AB15)</f>
        <v>2450000</v>
      </c>
    </row>
    <row r="19" spans="2:7" ht="18" customHeight="1" x14ac:dyDescent="0.15">
      <c r="B19" s="17">
        <f>'59مخالفة'!A16</f>
        <v>14</v>
      </c>
      <c r="C19" s="24" t="str">
        <f>'59مخالفة'!B16</f>
        <v>عدم ( تجديد اجازة السوق او السنوية ) بعد مرور (30) يوم</v>
      </c>
      <c r="D19" s="31">
        <f>SUM('59مخالفة'!Y16)</f>
        <v>85</v>
      </c>
      <c r="E19" s="33">
        <f>'59مخالفة'!Z16</f>
        <v>0</v>
      </c>
      <c r="F19" s="33">
        <f>'59مخالفة'!AA16</f>
        <v>0</v>
      </c>
      <c r="G19" s="32">
        <f>SUM('59مخالفة'!AB16)</f>
        <v>4250000</v>
      </c>
    </row>
    <row r="20" spans="2:7" ht="18" customHeight="1" x14ac:dyDescent="0.15">
      <c r="B20" s="17">
        <f>'59مخالفة'!A17</f>
        <v>15</v>
      </c>
      <c r="C20" s="24" t="str">
        <f>'59مخالفة'!B17</f>
        <v>عدم مراجعة دائرة التسجيل لتسجيل  المركبة بعد (30) يوم على كتاب البيع او التسجيل</v>
      </c>
      <c r="D20" s="31">
        <f>SUM('59مخالفة'!Y17)</f>
        <v>0</v>
      </c>
      <c r="E20" s="33">
        <f>'59مخالفة'!Z17</f>
        <v>0</v>
      </c>
      <c r="F20" s="33">
        <f>'59مخالفة'!AA17</f>
        <v>0</v>
      </c>
      <c r="G20" s="32">
        <f>SUM('59مخالفة'!AB17)</f>
        <v>0</v>
      </c>
    </row>
    <row r="21" spans="2:7" ht="18" customHeight="1" x14ac:dyDescent="0.15">
      <c r="B21" s="17">
        <f>'59مخالفة'!A18</f>
        <v>16</v>
      </c>
      <c r="C21" s="24" t="str">
        <f>'59مخالفة'!B18</f>
        <v>الوقوف الممنوع</v>
      </c>
      <c r="D21" s="31">
        <f>SUM('59مخالفة'!Y18)</f>
        <v>199</v>
      </c>
      <c r="E21" s="33">
        <f>'59مخالفة'!Z18</f>
        <v>0</v>
      </c>
      <c r="F21" s="33">
        <f>'59مخالفة'!AA18</f>
        <v>0</v>
      </c>
      <c r="G21" s="32">
        <f>SUM('59مخالفة'!AB18)</f>
        <v>9950000</v>
      </c>
    </row>
    <row r="22" spans="2:7" ht="18" customHeight="1" x14ac:dyDescent="0.15">
      <c r="B22" s="17">
        <f>'59مخالفة'!A19</f>
        <v>17</v>
      </c>
      <c r="C22" s="24" t="str">
        <f>'59مخالفة'!B19</f>
        <v>عدم اعطاء الاسبقية للمشاة في منطقة العبور</v>
      </c>
      <c r="D22" s="31">
        <f>SUM('59مخالفة'!Y19)</f>
        <v>0</v>
      </c>
      <c r="E22" s="33">
        <f>'59مخالفة'!Z19</f>
        <v>0</v>
      </c>
      <c r="F22" s="33">
        <f>'59مخالفة'!AA19</f>
        <v>0</v>
      </c>
      <c r="G22" s="32">
        <f>SUM('59مخالفة'!AB19)</f>
        <v>0</v>
      </c>
    </row>
    <row r="23" spans="2:7" ht="18" customHeight="1" x14ac:dyDescent="0.15">
      <c r="B23" s="17">
        <f>'59مخالفة'!A20</f>
        <v>18</v>
      </c>
      <c r="C23" s="27" t="str">
        <f>'59مخالفة'!B20</f>
        <v>عدم ارتداء حزام الامان( للسائق او الراكب الذي بجانبه ) او جلوس الاطفال دون سن (8) سنوات في المقعد الامامي للسيارة</v>
      </c>
      <c r="D23" s="31">
        <f>SUM('59مخالفة'!Y20)</f>
        <v>26</v>
      </c>
      <c r="E23" s="33">
        <f>'59مخالفة'!Z20</f>
        <v>0</v>
      </c>
      <c r="F23" s="33">
        <f>'59مخالفة'!AA20</f>
        <v>0</v>
      </c>
      <c r="G23" s="32">
        <f>SUM('59مخالفة'!AB20)</f>
        <v>1300000</v>
      </c>
    </row>
    <row r="24" spans="2:7" ht="18" customHeight="1" x14ac:dyDescent="0.15">
      <c r="B24" s="17">
        <f>'59مخالفة'!A21</f>
        <v>19</v>
      </c>
      <c r="C24" s="24" t="str">
        <f>'59مخالفة'!B21</f>
        <v>استعمال الضوء العالي</v>
      </c>
      <c r="D24" s="31">
        <f>SUM('59مخالفة'!Y21)</f>
        <v>3</v>
      </c>
      <c r="E24" s="33">
        <f>'59مخالفة'!Z21</f>
        <v>0</v>
      </c>
      <c r="F24" s="33">
        <f>'59مخالفة'!AA21</f>
        <v>0</v>
      </c>
      <c r="G24" s="32">
        <f>SUM('59مخالفة'!AB21)</f>
        <v>150000</v>
      </c>
    </row>
    <row r="25" spans="2:7" ht="18" customHeight="1" x14ac:dyDescent="0.15">
      <c r="B25" s="17">
        <f>'59مخالفة'!A22</f>
        <v>20</v>
      </c>
      <c r="C25" s="24" t="str">
        <f>'59مخالفة'!B22</f>
        <v>استعمال جهاز التنبيه الهوائي او اخر غير متواجد في المنشأ</v>
      </c>
      <c r="D25" s="31">
        <f>SUM('59مخالفة'!Y22)</f>
        <v>0</v>
      </c>
      <c r="E25" s="33">
        <f>'59مخالفة'!Z22</f>
        <v>0</v>
      </c>
      <c r="F25" s="33">
        <f>'59مخالفة'!AA22</f>
        <v>0</v>
      </c>
      <c r="G25" s="32">
        <f>SUM('59مخالفة'!AB22)</f>
        <v>0</v>
      </c>
    </row>
    <row r="26" spans="2:7" ht="18" customHeight="1" x14ac:dyDescent="0.15">
      <c r="B26" s="17">
        <f>'59مخالفة'!A23</f>
        <v>21</v>
      </c>
      <c r="C26" s="24" t="str">
        <f>'59مخالفة'!B23</f>
        <v>الاجتياز الخاطئ من جهة اليمين</v>
      </c>
      <c r="D26" s="31">
        <f>SUM('59مخالفة'!Y23)</f>
        <v>0</v>
      </c>
      <c r="E26" s="33">
        <f>'59مخالفة'!Z23</f>
        <v>0</v>
      </c>
      <c r="F26" s="33">
        <f>'59مخالفة'!AA23</f>
        <v>0</v>
      </c>
      <c r="G26" s="32">
        <f>SUM('59مخالفة'!AB23)</f>
        <v>0</v>
      </c>
    </row>
    <row r="27" spans="2:7" ht="18" customHeight="1" x14ac:dyDescent="0.15">
      <c r="B27" s="17">
        <f>'59مخالفة'!A24</f>
        <v>22</v>
      </c>
      <c r="C27" s="24" t="str">
        <f>'59مخالفة'!B24</f>
        <v>وضع ملصقات زينة</v>
      </c>
      <c r="D27" s="31">
        <f>SUM('59مخالفة'!Y24)</f>
        <v>3</v>
      </c>
      <c r="E27" s="33">
        <f>'59مخالفة'!Z24</f>
        <v>0</v>
      </c>
      <c r="F27" s="33">
        <f>'59مخالفة'!AA24</f>
        <v>0</v>
      </c>
      <c r="G27" s="32">
        <f>SUM('59مخالفة'!AB24)</f>
        <v>150000</v>
      </c>
    </row>
    <row r="28" spans="2:7" ht="18" customHeight="1" x14ac:dyDescent="0.15">
      <c r="B28" s="17">
        <f>'59مخالفة'!A25</f>
        <v>23</v>
      </c>
      <c r="C28" s="24" t="str">
        <f>'59مخالفة'!B25</f>
        <v>نقل ركاب على جوانب العجلة او جزء خارجي منها او اكثر من استيعابها</v>
      </c>
      <c r="D28" s="31">
        <f>SUM('59مخالفة'!Y25)</f>
        <v>0</v>
      </c>
      <c r="E28" s="33">
        <f>'59مخالفة'!Z25</f>
        <v>0</v>
      </c>
      <c r="F28" s="33">
        <f>'59مخالفة'!AA25</f>
        <v>0</v>
      </c>
      <c r="G28" s="32">
        <f>SUM('59مخالفة'!AB25)</f>
        <v>0</v>
      </c>
    </row>
    <row r="29" spans="2:7" ht="18" customHeight="1" x14ac:dyDescent="0.15">
      <c r="B29" s="17">
        <f>'59مخالفة'!A26</f>
        <v>24</v>
      </c>
      <c r="C29" s="24" t="str">
        <f>'59مخالفة'!B26</f>
        <v>قيادة الدراجات النارية التي سعة محركها تقل عن (40 cc) في الشوارع الرئيسية</v>
      </c>
      <c r="D29" s="31">
        <f>SUM('59مخالفة'!Y26)</f>
        <v>3</v>
      </c>
      <c r="E29" s="33">
        <f>'59مخالفة'!Z26</f>
        <v>0</v>
      </c>
      <c r="F29" s="33">
        <f>'59مخالفة'!AA26</f>
        <v>0</v>
      </c>
      <c r="G29" s="32">
        <f>SUM('59مخالفة'!AB26)</f>
        <v>150000</v>
      </c>
    </row>
    <row r="30" spans="2:7" ht="18" customHeight="1" x14ac:dyDescent="0.15">
      <c r="B30" s="17">
        <f>'59مخالفة'!A27</f>
        <v>25</v>
      </c>
      <c r="C30" s="24" t="str">
        <f>'59مخالفة'!B27</f>
        <v>مخالفة العلامات المرورية الشاخصة او الارضية</v>
      </c>
      <c r="D30" s="31">
        <f>SUM('59مخالفة'!Y27)</f>
        <v>7</v>
      </c>
      <c r="E30" s="33">
        <f>'59مخالفة'!Z27</f>
        <v>0</v>
      </c>
      <c r="F30" s="33">
        <f>'59مخالفة'!AA27</f>
        <v>0</v>
      </c>
      <c r="G30" s="32">
        <f>SUM('59مخالفة'!AB27)</f>
        <v>350000</v>
      </c>
    </row>
    <row r="31" spans="2:7" ht="18" customHeight="1" x14ac:dyDescent="0.15">
      <c r="B31" s="17">
        <f>'59مخالفة'!A28</f>
        <v>26</v>
      </c>
      <c r="C31" s="24" t="str">
        <f>'59مخالفة'!B28</f>
        <v>عدم التنبيه بالإشارة قبل مسافة كافية عند الاستدارة او الوقوف</v>
      </c>
      <c r="D31" s="31">
        <f>SUM('59مخالفة'!Y28)</f>
        <v>0</v>
      </c>
      <c r="E31" s="33">
        <f>'59مخالفة'!Z28</f>
        <v>0</v>
      </c>
      <c r="F31" s="33">
        <f>'59مخالفة'!AA28</f>
        <v>0</v>
      </c>
      <c r="G31" s="32">
        <f>SUM('59مخالفة'!AB28)</f>
        <v>0</v>
      </c>
    </row>
    <row r="32" spans="2:7" ht="18" customHeight="1" x14ac:dyDescent="0.15">
      <c r="B32" s="17">
        <f>'59مخالفة'!A29</f>
        <v>27</v>
      </c>
      <c r="C32" s="24" t="str">
        <f>'59مخالفة'!B29</f>
        <v>تحريك المركبة قبل التأكد من خلو جهة  المرور من المركبات</v>
      </c>
      <c r="D32" s="31">
        <f>SUM('59مخالفة'!Y29)</f>
        <v>0</v>
      </c>
      <c r="E32" s="33">
        <f>'59مخالفة'!Z29</f>
        <v>0</v>
      </c>
      <c r="F32" s="33">
        <f>'59مخالفة'!AA29</f>
        <v>0</v>
      </c>
      <c r="G32" s="32">
        <f>SUM('59مخالفة'!AB29)</f>
        <v>0</v>
      </c>
    </row>
    <row r="33" spans="2:7" ht="18" customHeight="1" x14ac:dyDescent="0.15">
      <c r="B33" s="17">
        <f>'59مخالفة'!A30</f>
        <v>28</v>
      </c>
      <c r="C33" s="25" t="str">
        <f>'59مخالفة'!B30</f>
        <v>قيادة(عجلة حمل او زراعية او انشائية او الدراجات النارية المحورة) التي تسير على الجانب الايسر من الطريق</v>
      </c>
      <c r="D33" s="31">
        <f>SUM('59مخالفة'!Y30)</f>
        <v>3</v>
      </c>
      <c r="E33" s="33">
        <f>'59مخالفة'!Z30</f>
        <v>0</v>
      </c>
      <c r="F33" s="33">
        <f>'59مخالفة'!AA30</f>
        <v>0</v>
      </c>
      <c r="G33" s="32">
        <f>SUM('59مخالفة'!AB30)</f>
        <v>150000</v>
      </c>
    </row>
    <row r="34" spans="2:7" ht="18" customHeight="1" x14ac:dyDescent="0.15">
      <c r="B34" s="17">
        <f>'59مخالفة'!A31</f>
        <v>29</v>
      </c>
      <c r="C34" s="24" t="str">
        <f>'59مخالفة'!B31</f>
        <v>التسبب بالازدحام لأي سبب كان</v>
      </c>
      <c r="D34" s="31">
        <f>SUM('59مخالفة'!Y31)</f>
        <v>5</v>
      </c>
      <c r="E34" s="33">
        <f>'59مخالفة'!Z31</f>
        <v>0</v>
      </c>
      <c r="F34" s="33">
        <f>'59مخالفة'!AA31</f>
        <v>0</v>
      </c>
      <c r="G34" s="32">
        <f>SUM('59مخالفة'!AB31)</f>
        <v>250000</v>
      </c>
    </row>
    <row r="35" spans="2:7" ht="18" customHeight="1" x14ac:dyDescent="0.15">
      <c r="B35" s="17">
        <f>'59مخالفة'!A32</f>
        <v>30</v>
      </c>
      <c r="C35" s="24" t="str">
        <f>'59مخالفة'!B32</f>
        <v>رمي النفايات والاوراق  والسكائر في الشوارع</v>
      </c>
      <c r="D35" s="31">
        <f>SUM('59مخالفة'!Y32)</f>
        <v>0</v>
      </c>
      <c r="E35" s="33">
        <f>'59مخالفة'!Z32</f>
        <v>0</v>
      </c>
      <c r="F35" s="33">
        <f>'59مخالفة'!AA32</f>
        <v>0</v>
      </c>
      <c r="G35" s="32">
        <f>SUM('59مخالفة'!AB32)</f>
        <v>0</v>
      </c>
    </row>
    <row r="36" spans="2:7" ht="18" customHeight="1" x14ac:dyDescent="0.15">
      <c r="B36" s="17">
        <f>'59مخالفة'!A33</f>
        <v>31</v>
      </c>
      <c r="C36" s="24" t="str">
        <f>'59مخالفة'!B33</f>
        <v>تجاوز عدد ركاب الحافلة للعدد المرخص به</v>
      </c>
      <c r="D36" s="31">
        <f>SUM('59مخالفة'!Y33)</f>
        <v>0</v>
      </c>
      <c r="E36" s="33">
        <f>'59مخالفة'!Z33</f>
        <v>0</v>
      </c>
      <c r="F36" s="33">
        <f>'59مخالفة'!AA33</f>
        <v>0</v>
      </c>
      <c r="G36" s="32">
        <f>SUM('59مخالفة'!AB33)</f>
        <v>0</v>
      </c>
    </row>
    <row r="37" spans="2:7" ht="18" customHeight="1" x14ac:dyDescent="0.15">
      <c r="B37" s="17">
        <f>'59مخالفة'!A34</f>
        <v>32</v>
      </c>
      <c r="C37" s="24" t="str">
        <f>'59مخالفة'!B34</f>
        <v>اخراج الرؤوس والابدان من النوافذ في الحافلة</v>
      </c>
      <c r="D37" s="31">
        <f>SUM('59مخالفة'!Y34)</f>
        <v>0</v>
      </c>
      <c r="E37" s="33">
        <f>'59مخالفة'!Z34</f>
        <v>0</v>
      </c>
      <c r="F37" s="33">
        <f>'59مخالفة'!AA34</f>
        <v>0</v>
      </c>
      <c r="G37" s="32">
        <f>SUM('59مخالفة'!AB34)</f>
        <v>0</v>
      </c>
    </row>
    <row r="38" spans="2:7" ht="18" customHeight="1" x14ac:dyDescent="0.15">
      <c r="B38" s="17">
        <f>'59مخالفة'!A35</f>
        <v>33</v>
      </c>
      <c r="C38" s="24" t="str">
        <f>'59مخالفة'!B35</f>
        <v>عدم انارة الحافلة من الداخل بين غروب الشمس وشروقها وعند الضرورة</v>
      </c>
      <c r="D38" s="31">
        <f>SUM('59مخالفة'!Y35)</f>
        <v>0</v>
      </c>
      <c r="E38" s="33">
        <f>'59مخالفة'!Z35</f>
        <v>0</v>
      </c>
      <c r="F38" s="33">
        <f>'59مخالفة'!AA35</f>
        <v>0</v>
      </c>
      <c r="G38" s="32">
        <f>SUM('59مخالفة'!AB35)</f>
        <v>0</v>
      </c>
    </row>
    <row r="39" spans="2:7" ht="18" customHeight="1" x14ac:dyDescent="0.15">
      <c r="B39" s="17">
        <f>'59مخالفة'!A36</f>
        <v>34</v>
      </c>
      <c r="C39" s="24" t="str">
        <f>'59مخالفة'!B36</f>
        <v>الوقوف لأخذ الركاب او انزالهم في الاماكن الغير مخصصة للوقوف</v>
      </c>
      <c r="D39" s="31">
        <f>SUM('59مخالفة'!Y36)</f>
        <v>0</v>
      </c>
      <c r="E39" s="33">
        <f>'59مخالفة'!Z36</f>
        <v>0</v>
      </c>
      <c r="F39" s="33">
        <f>'59مخالفة'!AA36</f>
        <v>0</v>
      </c>
      <c r="G39" s="32">
        <f>SUM('59مخالفة'!AB36)</f>
        <v>0</v>
      </c>
    </row>
    <row r="40" spans="2:7" ht="18" customHeight="1" x14ac:dyDescent="0.15">
      <c r="B40" s="17">
        <f>'59مخالفة'!A37</f>
        <v>35</v>
      </c>
      <c r="C40" s="24" t="str">
        <f>'59مخالفة'!B37</f>
        <v>التحدث مع الركاب اثناء سير الحالفة او الوقوف بجانب السائق</v>
      </c>
      <c r="D40" s="31">
        <f>SUM('59مخالفة'!Y37)</f>
        <v>0</v>
      </c>
      <c r="E40" s="33">
        <f>'59مخالفة'!Z37</f>
        <v>0</v>
      </c>
      <c r="F40" s="33">
        <f>'59مخالفة'!AA37</f>
        <v>0</v>
      </c>
      <c r="G40" s="32">
        <f>SUM('59مخالفة'!AB37)</f>
        <v>0</v>
      </c>
    </row>
    <row r="41" spans="2:7" ht="18" customHeight="1" x14ac:dyDescent="0.15">
      <c r="B41" s="17">
        <f>'59مخالفة'!A38</f>
        <v>36</v>
      </c>
      <c r="C41" s="24" t="str">
        <f>'59مخالفة'!B38</f>
        <v>رفض ركوب على استعداد لدفع التعريفة المقررة اذا لم تكم المركبة مستكملة عدد الركاب المرخص به</v>
      </c>
      <c r="D41" s="31">
        <f>SUM('59مخالفة'!Y38)</f>
        <v>0</v>
      </c>
      <c r="E41" s="33">
        <f>'59مخالفة'!Z38</f>
        <v>0</v>
      </c>
      <c r="F41" s="33">
        <f>'59مخالفة'!AA38</f>
        <v>0</v>
      </c>
      <c r="G41" s="32">
        <f>SUM('59مخالفة'!AB38)</f>
        <v>0</v>
      </c>
    </row>
    <row r="42" spans="2:7" ht="18" customHeight="1" x14ac:dyDescent="0.15">
      <c r="B42" s="17">
        <f>'59مخالفة'!A39</f>
        <v>37</v>
      </c>
      <c r="C42" s="24" t="str">
        <f>'59مخالفة'!B39</f>
        <v>عدم تثبيت اعلان يوضح عدد الاشخاص المرخص به وان المركبة للأجرة</v>
      </c>
      <c r="D42" s="31">
        <f>SUM('59مخالفة'!Y39)</f>
        <v>0</v>
      </c>
      <c r="E42" s="33">
        <f>'59مخالفة'!Z39</f>
        <v>0</v>
      </c>
      <c r="F42" s="33">
        <f>'59مخالفة'!AA39</f>
        <v>0</v>
      </c>
      <c r="G42" s="32">
        <f>SUM('59مخالفة'!AB39)</f>
        <v>0</v>
      </c>
    </row>
    <row r="43" spans="2:7" ht="18" customHeight="1" x14ac:dyDescent="0.15">
      <c r="B43" s="17">
        <f>'59مخالفة'!A40</f>
        <v>38</v>
      </c>
      <c r="C43" s="24" t="str">
        <f>'59مخالفة'!B40</f>
        <v>عدم تفتيش الحافلة وعدم تسليم الامانة  الى اقرب مركز شرطة  خلال (24) ساعة</v>
      </c>
      <c r="D43" s="31">
        <f>SUM('59مخالفة'!Y40)</f>
        <v>0</v>
      </c>
      <c r="E43" s="33">
        <f>'59مخالفة'!Z40</f>
        <v>0</v>
      </c>
      <c r="F43" s="33">
        <f>'59مخالفة'!AA40</f>
        <v>0</v>
      </c>
      <c r="G43" s="32">
        <f>SUM('59مخالفة'!AB40)</f>
        <v>0</v>
      </c>
    </row>
    <row r="44" spans="2:7" ht="18" customHeight="1" x14ac:dyDescent="0.15">
      <c r="B44" s="17">
        <f>'59مخالفة'!A41</f>
        <v>39</v>
      </c>
      <c r="C44" s="24" t="str">
        <f>'59مخالفة'!B41</f>
        <v>الاشخاص اثناء عبور الشارع من غير المناطق المخصصة للعبور</v>
      </c>
      <c r="D44" s="31">
        <f>SUM('59مخالفة'!Y41)</f>
        <v>0</v>
      </c>
      <c r="E44" s="33">
        <f>'59مخالفة'!Z41</f>
        <v>0</v>
      </c>
      <c r="F44" s="33">
        <f>'59مخالفة'!AA41</f>
        <v>0</v>
      </c>
      <c r="G44" s="32">
        <f>SUM('59مخالفة'!AB41)</f>
        <v>0</v>
      </c>
    </row>
    <row r="45" spans="2:7" ht="18" customHeight="1" x14ac:dyDescent="0.15">
      <c r="B45" s="17">
        <f>'59مخالفة'!A42</f>
        <v>40</v>
      </c>
      <c r="C45" s="24" t="str">
        <f>'59مخالفة'!B42</f>
        <v>استعمال الهاتف النقال اثناء القيادة</v>
      </c>
      <c r="D45" s="31">
        <f>SUM('59مخالفة'!Y42)</f>
        <v>0</v>
      </c>
      <c r="E45" s="33">
        <f>'59مخالفة'!Z42</f>
        <v>0</v>
      </c>
      <c r="F45" s="33">
        <f>'59مخالفة'!AA42</f>
        <v>0</v>
      </c>
      <c r="G45" s="32">
        <f>SUM('59مخالفة'!AB42)</f>
        <v>0</v>
      </c>
    </row>
    <row r="46" spans="2:7" ht="18" customHeight="1" x14ac:dyDescent="0.15">
      <c r="B46" s="17">
        <f>'59مخالفة'!A43</f>
        <v>41</v>
      </c>
      <c r="C46" s="24" t="str">
        <f>'59مخالفة'!B43</f>
        <v>عدم وضوح لوحات</v>
      </c>
      <c r="D46" s="31">
        <f>SUM('59مخالفة'!Y43)</f>
        <v>0</v>
      </c>
      <c r="E46" s="33">
        <f>'59مخالفة'!Z43</f>
        <v>0</v>
      </c>
      <c r="F46" s="33">
        <f>'59مخالفة'!AA43</f>
        <v>0</v>
      </c>
      <c r="G46" s="32">
        <f>SUM('59مخالفة'!AB43)</f>
        <v>0</v>
      </c>
    </row>
    <row r="47" spans="2:7" ht="18" customHeight="1" x14ac:dyDescent="0.15">
      <c r="B47" s="17">
        <f>'59مخالفة'!A44</f>
        <v>42</v>
      </c>
      <c r="C47" s="24" t="str">
        <f>'59مخالفة'!B44</f>
        <v>الاستدارة من مكان ممنوع</v>
      </c>
      <c r="D47" s="31">
        <f>SUM('59مخالفة'!Y44)</f>
        <v>0</v>
      </c>
      <c r="E47" s="33">
        <f>'59مخالفة'!Z44</f>
        <v>0</v>
      </c>
      <c r="F47" s="33">
        <f>'59مخالفة'!AA44</f>
        <v>0</v>
      </c>
      <c r="G47" s="32">
        <f>SUM('59مخالفة'!AB44)</f>
        <v>0</v>
      </c>
    </row>
    <row r="48" spans="2:7" ht="18" customHeight="1" x14ac:dyDescent="0.15">
      <c r="B48" s="17">
        <f>'59مخالفة'!A45</f>
        <v>43</v>
      </c>
      <c r="C48" s="24" t="str">
        <f>'59مخالفة'!B45</f>
        <v>عدم التوقف عند الخروج من شارع فرعي الى رئيسي</v>
      </c>
      <c r="D48" s="31">
        <f>SUM('59مخالفة'!Y45)</f>
        <v>0</v>
      </c>
      <c r="E48" s="33">
        <f>'59مخالفة'!Z45</f>
        <v>0</v>
      </c>
      <c r="F48" s="33">
        <f>'59مخالفة'!AA45</f>
        <v>0</v>
      </c>
      <c r="G48" s="32">
        <f>SUM('59مخالفة'!AB45)</f>
        <v>0</v>
      </c>
    </row>
    <row r="49" spans="2:7" ht="18" customHeight="1" x14ac:dyDescent="0.15">
      <c r="B49" s="17">
        <f>'59مخالفة'!A46</f>
        <v>44</v>
      </c>
      <c r="C49" s="24" t="str">
        <f>'59مخالفة'!B46</f>
        <v>الوقوف في  جهة اليمين ومنع انسيابية  حركة المرور</v>
      </c>
      <c r="D49" s="31">
        <f>SUM('59مخالفة'!Y46)</f>
        <v>0</v>
      </c>
      <c r="E49" s="33">
        <f>'59مخالفة'!Z46</f>
        <v>0</v>
      </c>
      <c r="F49" s="33">
        <f>'59مخالفة'!AA46</f>
        <v>0</v>
      </c>
      <c r="G49" s="32">
        <f>SUM('59مخالفة'!AB46)</f>
        <v>0</v>
      </c>
    </row>
    <row r="50" spans="2:7" ht="18" customHeight="1" x14ac:dyDescent="0.15">
      <c r="B50" s="17">
        <f>'59مخالفة'!A47</f>
        <v>45</v>
      </c>
      <c r="C50" s="24" t="str">
        <f>'59مخالفة'!B47</f>
        <v>عدم توفر شروط المتانة والامان</v>
      </c>
      <c r="D50" s="31">
        <f>SUM('59مخالفة'!Y47)</f>
        <v>0</v>
      </c>
      <c r="E50" s="33">
        <f>'59مخالفة'!Z47</f>
        <v>0</v>
      </c>
      <c r="F50" s="33">
        <f>'59مخالفة'!AA47</f>
        <v>0</v>
      </c>
      <c r="G50" s="32">
        <f>SUM('59مخالفة'!AB47)</f>
        <v>0</v>
      </c>
    </row>
    <row r="51" spans="2:7" ht="18" customHeight="1" x14ac:dyDescent="0.15">
      <c r="B51" s="17">
        <f>'59مخالفة'!A48</f>
        <v>46</v>
      </c>
      <c r="C51" s="24" t="str">
        <f>'59مخالفة'!B48</f>
        <v>قيادة مركبة  دون السن القانوني ( الاحداث )</v>
      </c>
      <c r="D51" s="31">
        <f>SUM('59مخالفة'!Y48)</f>
        <v>0</v>
      </c>
      <c r="E51" s="33">
        <f>'59مخالفة'!Z48</f>
        <v>0</v>
      </c>
      <c r="F51" s="33">
        <f>'59مخالفة'!AA48</f>
        <v>0</v>
      </c>
      <c r="G51" s="32">
        <f>SUM('59مخالفة'!AB48)</f>
        <v>0</v>
      </c>
    </row>
    <row r="52" spans="2:7" ht="18" customHeight="1" x14ac:dyDescent="0.15">
      <c r="B52" s="17">
        <f>'59مخالفة'!A49</f>
        <v>47</v>
      </c>
      <c r="C52" s="24" t="str">
        <f>'59مخالفة'!B49</f>
        <v>بيان رقم  (5) لسنة 2024 دخول المركبات الحمل للعاصمة</v>
      </c>
      <c r="D52" s="31">
        <f>SUM('59مخالفة'!Y49)</f>
        <v>0</v>
      </c>
      <c r="E52" s="33">
        <f>'59مخالفة'!Z49</f>
        <v>0</v>
      </c>
      <c r="F52" s="33">
        <f>'59مخالفة'!AA49</f>
        <v>0</v>
      </c>
      <c r="G52" s="32">
        <f>SUM('59مخالفة'!AB49)</f>
        <v>0</v>
      </c>
    </row>
    <row r="53" spans="2:7" ht="18" customHeight="1" x14ac:dyDescent="0.15">
      <c r="B53" s="17">
        <f>'59مخالفة'!A50</f>
        <v>48</v>
      </c>
      <c r="C53" s="24" t="str">
        <f>'59مخالفة'!B50</f>
        <v>م .ب (3) لسنة 2011 مطفأة حريق</v>
      </c>
      <c r="D53" s="31">
        <f>SUM('59مخالفة'!Y50)</f>
        <v>1</v>
      </c>
      <c r="E53" s="33">
        <f>'59مخالفة'!Z50</f>
        <v>0</v>
      </c>
      <c r="F53" s="33">
        <f>'59مخالفة'!AA50</f>
        <v>0</v>
      </c>
      <c r="G53" s="32">
        <f>SUM('59مخالفة'!AB50)</f>
        <v>50000</v>
      </c>
    </row>
    <row r="54" spans="2:7" ht="18" customHeight="1" x14ac:dyDescent="0.15">
      <c r="B54" s="17">
        <f>'59مخالفة'!A51</f>
        <v>49</v>
      </c>
      <c r="C54" s="24" t="str">
        <f>'59مخالفة'!B51</f>
        <v>م .ب(3) لسنة 2011 مثلث فسفوري</v>
      </c>
      <c r="D54" s="31">
        <f>SUM('59مخالفة'!Y51)</f>
        <v>0</v>
      </c>
      <c r="E54" s="33">
        <f>'59مخالفة'!Z51</f>
        <v>0</v>
      </c>
      <c r="F54" s="33">
        <f>'59مخالفة'!AA51</f>
        <v>0</v>
      </c>
      <c r="G54" s="32">
        <f>SUM('59مخالفة'!AB51)</f>
        <v>0</v>
      </c>
    </row>
    <row r="55" spans="2:7" ht="18" customHeight="1" x14ac:dyDescent="0.15">
      <c r="B55" s="17">
        <f>'59مخالفة'!A52</f>
        <v>50</v>
      </c>
      <c r="C55" s="24" t="str">
        <f>'59مخالفة'!B52</f>
        <v>م .ب(3) لسنة 2024 منع التدخين داخل وسائط النقل</v>
      </c>
      <c r="D55" s="31">
        <f>SUM('59مخالفة'!Y52)</f>
        <v>0</v>
      </c>
      <c r="E55" s="33">
        <f>'59مخالفة'!Z52</f>
        <v>0</v>
      </c>
      <c r="F55" s="33">
        <f>'59مخالفة'!AA52</f>
        <v>0</v>
      </c>
      <c r="G55" s="32">
        <f>SUM('59مخالفة'!AB52)</f>
        <v>0</v>
      </c>
    </row>
    <row r="56" spans="2:7" ht="18" customHeight="1" x14ac:dyDescent="0.15">
      <c r="B56" s="17">
        <f>'59مخالفة'!A53</f>
        <v>51</v>
      </c>
      <c r="C56" s="24" t="str">
        <f>'59مخالفة'!B53</f>
        <v>م ب (3) لسنة 2019 استخدام المركبات الخصوصي كأجرة</v>
      </c>
      <c r="D56" s="31">
        <f>SUM('59مخالفة'!Y53)</f>
        <v>3</v>
      </c>
      <c r="E56" s="33">
        <f>'59مخالفة'!Z53</f>
        <v>0</v>
      </c>
      <c r="F56" s="33">
        <f>'59مخالفة'!AA53</f>
        <v>0</v>
      </c>
      <c r="G56" s="32">
        <f>SUM('59مخالفة'!AB53)</f>
        <v>300000</v>
      </c>
    </row>
    <row r="57" spans="2:7" ht="18" customHeight="1" x14ac:dyDescent="0.15">
      <c r="B57" s="17">
        <f>'59مخالفة'!A54</f>
        <v>52</v>
      </c>
      <c r="C57" s="24" t="str">
        <f>'59مخالفة'!B54</f>
        <v>م ب (10) اسنة 2019 لا يجوز تحوير المركبة  او ابدال هيكلها  او شاصيها</v>
      </c>
      <c r="D57" s="31">
        <f>SUM('59مخالفة'!Y54)</f>
        <v>0</v>
      </c>
      <c r="E57" s="33">
        <f>'59مخالفة'!Z54</f>
        <v>0</v>
      </c>
      <c r="F57" s="33">
        <f>'59مخالفة'!AA54</f>
        <v>0</v>
      </c>
      <c r="G57" s="32">
        <f>SUM('59مخالفة'!AB54)</f>
        <v>0</v>
      </c>
    </row>
    <row r="58" spans="2:7" ht="18" customHeight="1" x14ac:dyDescent="0.15">
      <c r="B58" s="17">
        <f>'59مخالفة'!A55</f>
        <v>53</v>
      </c>
      <c r="C58" s="24" t="str">
        <f>'59مخالفة'!B55</f>
        <v>م ب (11)  لسنة 2019  منع تركيب ونصب اللافتات  الضوئية او الصافرات</v>
      </c>
      <c r="D58" s="31">
        <f>SUM('59مخالفة'!Y55)</f>
        <v>0</v>
      </c>
      <c r="E58" s="33">
        <f>'59مخالفة'!Z55</f>
        <v>0</v>
      </c>
      <c r="F58" s="33">
        <f>'59مخالفة'!AA55</f>
        <v>0</v>
      </c>
      <c r="G58" s="32">
        <f>SUM('59مخالفة'!AB55)</f>
        <v>0</v>
      </c>
    </row>
    <row r="59" spans="2:7" ht="18" customHeight="1" x14ac:dyDescent="0.15">
      <c r="B59" s="17">
        <f>'59مخالفة'!A56</f>
        <v>54</v>
      </c>
      <c r="C59" s="24" t="str">
        <f>'59مخالفة'!B56</f>
        <v>م ب (12)  لسنة 2019  منع استخدام مركبة مصفحة او مدرعة</v>
      </c>
      <c r="D59" s="31">
        <f>SUM('59مخالفة'!Y56)</f>
        <v>0</v>
      </c>
      <c r="E59" s="33">
        <f>'59مخالفة'!Z56</f>
        <v>0</v>
      </c>
      <c r="F59" s="33">
        <f>'59مخالفة'!AA56</f>
        <v>0</v>
      </c>
      <c r="G59" s="32">
        <f>SUM('59مخالفة'!AB56)</f>
        <v>0</v>
      </c>
    </row>
    <row r="60" spans="2:7" ht="18" customHeight="1" x14ac:dyDescent="0.15">
      <c r="B60" s="17">
        <f>'59مخالفة'!A57</f>
        <v>55</v>
      </c>
      <c r="C60" s="24" t="str">
        <f>'59مخالفة'!B57</f>
        <v>مخالفة مقررات اللجنة العليا للصحة والسلامة والوطنية ( حظر تجوال )</v>
      </c>
      <c r="D60" s="31">
        <f>SUM('59مخالفة'!Y57)</f>
        <v>0</v>
      </c>
      <c r="E60" s="33">
        <f>'59مخالفة'!Z57</f>
        <v>0</v>
      </c>
      <c r="F60" s="33">
        <f>'59مخالفة'!AA57</f>
        <v>0</v>
      </c>
      <c r="G60" s="32">
        <f>SUM('59مخالفة'!AB57)</f>
        <v>0</v>
      </c>
    </row>
    <row r="61" spans="2:7" ht="18" customHeight="1" x14ac:dyDescent="0.15">
      <c r="B61" s="17">
        <f>'59مخالفة'!A58</f>
        <v>56</v>
      </c>
      <c r="C61" s="24" t="str">
        <f>'59مخالفة'!B58</f>
        <v>مخالفة بيان رقم (5)  لسنة 2020 (الزوجي الفردي )</v>
      </c>
      <c r="D61" s="31">
        <f>SUM('59مخالفة'!Y58)</f>
        <v>0</v>
      </c>
      <c r="E61" s="33">
        <f>'59مخالفة'!Z58</f>
        <v>0</v>
      </c>
      <c r="F61" s="33">
        <f>'59مخالفة'!AA58</f>
        <v>0</v>
      </c>
      <c r="G61" s="32">
        <f>SUM('59مخالفة'!AB58)</f>
        <v>0</v>
      </c>
    </row>
    <row r="62" spans="2:7" ht="18" customHeight="1" x14ac:dyDescent="0.15">
      <c r="B62" s="17">
        <f>'59مخالفة'!A59</f>
        <v>57</v>
      </c>
      <c r="C62" s="24" t="s">
        <v>70</v>
      </c>
      <c r="D62" s="31">
        <f>SUM('59مخالفة'!Y59)</f>
        <v>0</v>
      </c>
      <c r="E62" s="33">
        <f>'59مخالفة'!Z59</f>
        <v>0</v>
      </c>
      <c r="F62" s="33">
        <f>'59مخالفة'!AA59</f>
        <v>0</v>
      </c>
      <c r="G62" s="32">
        <f>SUM('59مخالفة'!AB59)</f>
        <v>0</v>
      </c>
    </row>
    <row r="63" spans="2:7" ht="18" customHeight="1" x14ac:dyDescent="0.15">
      <c r="B63" s="17">
        <f>'59مخالفة'!A60</f>
        <v>58</v>
      </c>
      <c r="C63" s="27" t="s">
        <v>71</v>
      </c>
      <c r="D63" s="31">
        <f>SUM('59مخالفة'!Y60)</f>
        <v>0</v>
      </c>
      <c r="E63" s="33"/>
      <c r="F63" s="33"/>
      <c r="G63" s="32">
        <f>SUM('59مخالفة'!AB60)</f>
        <v>0</v>
      </c>
    </row>
    <row r="64" spans="2:7" ht="18" customHeight="1" x14ac:dyDescent="0.15">
      <c r="B64" s="17">
        <f>'59مخالفة'!A61</f>
        <v>59</v>
      </c>
      <c r="C64" s="24" t="s">
        <v>74</v>
      </c>
      <c r="D64" s="31">
        <f>SUM('59مخالفة'!Y61)</f>
        <v>0</v>
      </c>
      <c r="E64" s="33">
        <f>'59مخالفة'!Z61</f>
        <v>0</v>
      </c>
      <c r="F64" s="33">
        <f>'59مخالفة'!AA61</f>
        <v>0</v>
      </c>
      <c r="G64" s="32">
        <f>SUM('59مخالفة'!AB61)</f>
        <v>0</v>
      </c>
    </row>
    <row r="65" spans="2:7" s="9" customFormat="1" ht="23.25" customHeight="1" x14ac:dyDescent="0.15">
      <c r="B65" s="21"/>
      <c r="C65" s="22" t="str">
        <f>'59مخالفة'!B62</f>
        <v xml:space="preserve">مجموع المخالفات المرورية </v>
      </c>
      <c r="D65" s="23">
        <f>SUM(D6:D64)</f>
        <v>443</v>
      </c>
      <c r="E65" s="23">
        <f>'59مخالفة'!Z62</f>
        <v>0</v>
      </c>
      <c r="F65" s="23">
        <f>'59مخالفة'!AA62</f>
        <v>0</v>
      </c>
      <c r="G65" s="28">
        <f>SUM(G6:G64)</f>
        <v>22950000</v>
      </c>
    </row>
    <row r="66" spans="2:7" ht="18" customHeight="1" x14ac:dyDescent="0.15">
      <c r="C66"/>
    </row>
    <row r="67" spans="2:7" ht="18" customHeight="1" x14ac:dyDescent="0.15">
      <c r="C67"/>
    </row>
    <row r="68" spans="2:7" ht="18" customHeight="1" x14ac:dyDescent="0.15">
      <c r="C68"/>
    </row>
    <row r="69" spans="2:7" ht="18" customHeight="1" x14ac:dyDescent="0.15">
      <c r="C69"/>
    </row>
    <row r="70" spans="2:7" ht="18" customHeight="1" x14ac:dyDescent="0.15">
      <c r="C70"/>
    </row>
    <row r="71" spans="2:7" ht="18" customHeight="1" x14ac:dyDescent="0.15">
      <c r="C71"/>
    </row>
  </sheetData>
  <mergeCells count="5">
    <mergeCell ref="E3:F3"/>
    <mergeCell ref="B4:B5"/>
    <mergeCell ref="C4:C5"/>
    <mergeCell ref="D4:F4"/>
    <mergeCell ref="G4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59مخالفة</vt:lpstr>
      <vt:lpstr>مخالفات ومبالغ </vt:lpstr>
    </vt:vector>
  </TitlesOfParts>
  <Company>فراس الصعيو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LENOVO-PC</dc:creator>
  <cp:lastModifiedBy>Maher</cp:lastModifiedBy>
  <cp:lastPrinted>2023-03-11T10:12:34Z</cp:lastPrinted>
  <dcterms:created xsi:type="dcterms:W3CDTF">2023-03-11T09:57:40Z</dcterms:created>
  <dcterms:modified xsi:type="dcterms:W3CDTF">2025-10-14T10:43:12Z</dcterms:modified>
</cp:coreProperties>
</file>